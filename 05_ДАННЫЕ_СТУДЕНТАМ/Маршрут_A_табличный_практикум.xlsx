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6df3a0bb9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Инструкция" sheetId="1" r:id="R6de7aab8cb514a8e"/>
    <x:sheet xmlns:r="http://schemas.openxmlformats.org/officeDocument/2006/relationships" name="02_Поток_сырой" sheetId="2" r:id="Ref6c8ef7740e4457"/>
    <x:sheet xmlns:r="http://schemas.openxmlformats.org/officeDocument/2006/relationships" name="03_Справочник" sheetId="3" r:id="R05c9df5c5b0a4805"/>
    <x:sheet xmlns:r="http://schemas.openxmlformats.org/officeDocument/2006/relationships" name="04_Журнал_решений" sheetId="4" r:id="R21eee2912f504852"/>
    <x:sheet xmlns:r="http://schemas.openxmlformats.org/officeDocument/2006/relationships" name="05_Признаки" sheetId="5" r:id="R4806332c089c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03D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D35"/>
      </x:patternFill>
    </x:fill>
    <x:fill>
      <x:patternFill patternType="solid">
        <x:fgColor rgb="FFDAECE3"/>
      </x:patternFill>
    </x:fill>
    <x:fill>
      <x:patternFill patternType="solid">
        <x:fgColor rgb="FF11665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884cebc8a44a4" /><Relationship Type="http://schemas.openxmlformats.org/officeDocument/2006/relationships/theme" Target="/xl/theme/theme1.xml" Id="R48b9adfdc90f4b0f" /><Relationship Type="http://schemas.openxmlformats.org/officeDocument/2006/relationships/sharedStrings" Target="/xl/sharedStrings.xml" Id="R862171a9f21c4acf" /><Relationship Type="http://schemas.openxmlformats.org/officeDocument/2006/relationships/worksheet" Target="/xl/worksheets/sheet1.xml" Id="R6de7aab8cb514a8e" /><Relationship Type="http://schemas.openxmlformats.org/officeDocument/2006/relationships/worksheet" Target="/xl/worksheets/sheet2.xml" Id="Ref6c8ef7740e4457" /><Relationship Type="http://schemas.openxmlformats.org/officeDocument/2006/relationships/worksheet" Target="/xl/worksheets/sheet3.xml" Id="R05c9df5c5b0a4805" /><Relationship Type="http://schemas.openxmlformats.org/officeDocument/2006/relationships/worksheet" Target="/xl/worksheets/sheet4.xml" Id="R21eee2912f504852" /><Relationship Type="http://schemas.openxmlformats.org/officeDocument/2006/relationships/worksheet" Target="/xl/worksheets/sheet5.xml" Id="R4806332c089c47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 ht="34" customHeight="1">
      <x:c r="A1" s="3" t="str">
        <x:v>Практикум · данные как основа ИИ · темы 04–05</x:v>
      </x:c>
      <x:c r="B1" s="3"/>
      <x:c r="C1" s="3"/>
      <x:c r="D1" s="3"/>
      <x:c r="E1" s="3"/>
      <x:c r="F1" s="3"/>
      <x:c r="G1" s="3"/>
    </x:row>
    <x:row r="4" ht="51" customHeight="1">
      <x:c r="A4" s="7" t="str">
        <x:v>Назначение</x:v>
      </x:c>
      <x:c r="B4" s="10" t="str">
        <x:v>Этот файл — табличный старт для маршрута без программирования. Результат оценивается наравне с Python.</x:v>
      </x:c>
    </x:row>
    <x:row r="5" ht="51" customHeight="1">
      <x:c r="A5" s="7" t="str">
        <x:v>ЛР 04</x:v>
      </x:c>
      <x:c r="B5" s="10" t="str">
        <x:v>Работайте с исходным листом «02_Поток_сырой», но изменяйте копию. Правила и доказательства заносите в лист «04_Журнал_решений».</x:v>
      </x:c>
    </x:row>
    <x:row r="6" ht="51" customHeight="1">
      <x:c r="A6" s="7" t="str">
        <x:v>ЛР 05</x:v>
      </x:c>
      <x:c r="B6" s="10" t="str">
        <x:v>В «05_Признаки» есть стартовые формулы. Сделайте две самостоятельные проекции А/Б, объясните масштаб и кодирование.</x:v>
      </x:c>
    </x:row>
    <x:row r="7" ht="51" customHeight="1">
      <x:c r="A7" s="7" t="str">
        <x:v>Ограничение</x:v>
      </x:c>
      <x:c r="B7" s="10" t="str">
        <x:v>Листы демонстрируют приёмы на части строк. Для лабораторной 4 необходимо работать с полным CSV, а для темы 5 можно использовать полный стартовый CSV.</x:v>
      </x:c>
    </x:row>
    <x:row r="8" ht="51" customHeight="1">
      <x:c r="A8" s="7" t="str">
        <x:v>Безопасность</x:v>
      </x:c>
      <x:c r="B8" s="10" t="str">
        <x:v>Не стирайте исходник. Не загружайте реальные персональные данные в внешнюю LLM.</x:v>
      </x:c>
    </x:row>
    <x:row r="9" ht="51" customHeight="1">
      <x:c r="A9" s="7" t="str">
        <x:v>Проверка</x:v>
      </x:c>
      <x:c r="B9" s="10" t="str">
        <x:v>Формулы являются примером. Проверьте вручную пять записей и отдельно неизвестный/спорный случай.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</x:cols>
  <x:sheetData>
    <x:row r="1" ht="33" customHeight="1">
      <x:c r="A1" s="16" t="str">
        <x:v>Тема 04 · образец сырого потока (80 из 221 строк)</x:v>
      </x:c>
      <x:c r="B1" s="16"/>
      <x:c r="C1" s="16"/>
      <x:c r="D1" s="16"/>
      <x:c r="E1" s="16"/>
      <x:c r="F1" s="16"/>
      <x:c r="G1" s="16"/>
      <x:c r="H1" s="16"/>
    </x:row>
    <x:row r="4" ht="26" customHeight="1">
      <x:c r="A4" s="13" t="str">
        <x:v>record_id</x:v>
      </x:c>
      <x:c r="B4" s="13" t="str">
        <x:v>room_code</x:v>
      </x:c>
      <x:c r="C4" s="13" t="str">
        <x:v>observed_at</x:v>
      </x:c>
      <x:c r="D4" s="13" t="str">
        <x:v>co2_ppm</x:v>
      </x:c>
      <x:c r="E4" s="13" t="str">
        <x:v>temp_c</x:v>
      </x:c>
      <x:c r="F4" s="13" t="str">
        <x:v>people_count</x:v>
      </x:c>
      <x:c r="G4" s="13" t="str">
        <x:v>vent_mode</x:v>
      </x:c>
      <x:c r="H4" s="13" t="str">
        <x:v>note</x:v>
      </x:c>
    </x:row>
    <x:row r="5">
      <x:c r="A5" t="str">
        <x:v>O0057</x:v>
      </x:c>
      <x:c r="B5" t="str">
        <x:v>A-203</x:v>
      </x:c>
      <x:c r="C5" t="str">
        <x:v>2026-03-16 13:00</x:v>
      </x:c>
      <x:c r="D5" t="str">
        <x:v>587</x:v>
      </x:c>
      <x:c r="E5" t="str">
        <x:v>20,3</x:v>
      </x:c>
      <x:c r="F5" t="str">
        <x:v>11</x:v>
      </x:c>
      <x:c r="G5" t="str">
        <x:v>open</x:v>
      </x:c>
      <x:c r="H5" t="str"/>
    </x:row>
    <x:row r="6">
      <x:c r="A6" t="str">
        <x:v>O0045</x:v>
      </x:c>
      <x:c r="B6" t="str">
        <x:v>A-102</x:v>
      </x:c>
      <x:c r="C6" t="str">
        <x:v>2026-03-17 13:00</x:v>
      </x:c>
      <x:c r="D6" t="str">
        <x:v>699</x:v>
      </x:c>
      <x:c r="E6" t="str">
        <x:v>21.0</x:v>
      </x:c>
      <x:c r="F6" t="str">
        <x:v>16</x:v>
      </x:c>
      <x:c r="G6" t="str">
        <x:v>auto</x:v>
      </x:c>
      <x:c r="H6" t="str"/>
    </x:row>
    <x:row r="7">
      <x:c r="A7" t="str">
        <x:v>O0066</x:v>
      </x:c>
      <x:c r="B7" t="str">
        <x:v>A-203</x:v>
      </x:c>
      <x:c r="C7" t="str">
        <x:v>2026-03-17 11:30</x:v>
      </x:c>
      <x:c r="D7" t="str">
        <x:v>963</x:v>
      </x:c>
      <x:c r="E7" t="str">
        <x:v>23.1</x:v>
      </x:c>
      <x:c r="F7" t="str">
        <x:v>22</x:v>
      </x:c>
      <x:c r="G7" t="str">
        <x:v>auto</x:v>
      </x:c>
      <x:c r="H7" t="str"/>
    </x:row>
    <x:row r="8">
      <x:c r="A8" t="str">
        <x:v>O0205</x:v>
      </x:c>
      <x:c r="B8" t="str">
        <x:v>C-405</x:v>
      </x:c>
      <x:c r="C8" t="str">
        <x:v>2026-03-17 09:00</x:v>
      </x:c>
      <x:c r="D8" t="str">
        <x:v>719</x:v>
      </x:c>
      <x:c r="E8" t="str">
        <x:v>22.2</x:v>
      </x:c>
      <x:c r="F8" t="str">
        <x:v>5</x:v>
      </x:c>
      <x:c r="G8" t="str">
        <x:v>closed</x:v>
      </x:c>
      <x:c r="H8" t="str"/>
    </x:row>
    <x:row r="9">
      <x:c r="A9" t="str">
        <x:v>O0063</x:v>
      </x:c>
      <x:c r="B9" t="str">
        <x:v>A-203</x:v>
      </x:c>
      <x:c r="C9" t="str">
        <x:v>2026-03-17 10:00</x:v>
      </x:c>
      <x:c r="D9" t="str">
        <x:v>640</x:v>
      </x:c>
      <x:c r="E9" t="str">
        <x:v>21.9</x:v>
      </x:c>
      <x:c r="F9" t="str">
        <x:v>3</x:v>
      </x:c>
      <x:c r="G9" t="str">
        <x:v>closed</x:v>
      </x:c>
      <x:c r="H9" t="str"/>
    </x:row>
    <x:row r="10">
      <x:c r="A10" t="str">
        <x:v>O0049</x:v>
      </x:c>
      <x:c r="B10" t="str">
        <x:v>A-203</x:v>
      </x:c>
      <x:c r="C10" t="str">
        <x:v>2026-03-16 09:00</x:v>
      </x:c>
      <x:c r="D10" t="str">
        <x:v>715</x:v>
      </x:c>
      <x:c r="E10" t="str">
        <x:v>21.1</x:v>
      </x:c>
      <x:c r="F10" t="str">
        <x:v>5</x:v>
      </x:c>
      <x:c r="G10" t="str">
        <x:v>closed</x:v>
      </x:c>
      <x:c r="H10" t="str"/>
    </x:row>
    <x:row r="11">
      <x:c r="A11" t="str">
        <x:v>O0141</x:v>
      </x:c>
      <x:c r="B11" t="str">
        <x:v>B-206</x:v>
      </x:c>
      <x:c r="C11" t="str"/>
      <x:c r="D11" t="str">
        <x:v>563</x:v>
      </x:c>
      <x:c r="E11" t="str">
        <x:v>20.3</x:v>
      </x:c>
      <x:c r="F11" t="str">
        <x:v>13</x:v>
      </x:c>
      <x:c r="G11" t="str">
        <x:v>open</x:v>
      </x:c>
      <x:c r="H11" t="str"/>
    </x:row>
    <x:row r="12">
      <x:c r="A12" t="str">
        <x:v>O0088</x:v>
      </x:c>
      <x:c r="B12" t="str">
        <x:v>B-104</x:v>
      </x:c>
      <x:c r="C12" t="str">
        <x:v>2026-03-17 10:30</x:v>
      </x:c>
      <x:c r="D12" t="str"/>
      <x:c r="E12" t="str">
        <x:v>21.8</x:v>
      </x:c>
      <x:c r="F12" t="str">
        <x:v>28</x:v>
      </x:c>
      <x:c r="G12" t="str">
        <x:v>auto</x:v>
      </x:c>
      <x:c r="H12" t="str"/>
    </x:row>
    <x:row r="13">
      <x:c r="A13" t="str">
        <x:v>O0073</x:v>
      </x:c>
      <x:c r="B13" t="str">
        <x:v>B-104</x:v>
      </x:c>
      <x:c r="C13" t="str">
        <x:v>2026-03-16 09:00</x:v>
      </x:c>
      <x:c r="D13" t="str">
        <x:v>545</x:v>
      </x:c>
      <x:c r="E13" t="str">
        <x:v>20.1</x:v>
      </x:c>
      <x:c r="F13" t="str">
        <x:v>9</x:v>
      </x:c>
      <x:c r="G13" t="str">
        <x:v>auto</x:v>
      </x:c>
      <x:c r="H13" t="str"/>
    </x:row>
    <x:row r="14">
      <x:c r="A14" t="str">
        <x:v>O0181</x:v>
      </x:c>
      <x:c r="B14" t="str">
        <x:v>C-302</x:v>
      </x:c>
      <x:c r="C14" t="str">
        <x:v>2026-03-17 09:00</x:v>
      </x:c>
      <x:c r="D14" t="str">
        <x:v>501</x:v>
      </x:c>
      <x:c r="E14" t="str">
        <x:v>19.3</x:v>
      </x:c>
      <x:c r="F14" t="str">
        <x:v>10</x:v>
      </x:c>
      <x:c r="G14" t="str">
        <x:v>open</x:v>
      </x:c>
      <x:c r="H14" t="str"/>
    </x:row>
    <x:row r="15">
      <x:c r="A15" t="str">
        <x:v>O0111</x:v>
      </x:c>
      <x:c r="B15" t="str">
        <x:v>B-205</x:v>
      </x:c>
      <x:c r="C15" t="str">
        <x:v>2026-03-17 10:00</x:v>
      </x:c>
      <x:c r="D15" t="str">
        <x:v>4200</x:v>
      </x:c>
      <x:c r="E15" t="str">
        <x:v>20.6</x:v>
      </x:c>
      <x:c r="F15" t="str">
        <x:v>7</x:v>
      </x:c>
      <x:c r="G15" t="str">
        <x:v>open</x:v>
      </x:c>
      <x:c r="H15" t="str"/>
    </x:row>
    <x:row r="16">
      <x:c r="A16" t="str">
        <x:v>O0090</x:v>
      </x:c>
      <x:c r="B16" t="str">
        <x:v>B-104</x:v>
      </x:c>
      <x:c r="C16" t="str">
        <x:v>2026-03-17 11:30</x:v>
      </x:c>
      <x:c r="D16" t="str">
        <x:v>917</x:v>
      </x:c>
      <x:c r="E16" t="str">
        <x:v>21.2</x:v>
      </x:c>
      <x:c r="F16" t="str">
        <x:v>38</x:v>
      </x:c>
      <x:c r="G16" t="str">
        <x:v>open</x:v>
      </x:c>
      <x:c r="H16" t="str"/>
    </x:row>
    <x:row r="17">
      <x:c r="A17" t="str">
        <x:v>O0091</x:v>
      </x:c>
      <x:c r="B17" t="str">
        <x:v>B-104</x:v>
      </x:c>
      <x:c r="C17" t="str">
        <x:v>2026-03-17 12:00</x:v>
      </x:c>
      <x:c r="D17" t="str">
        <x:v>530</x:v>
      </x:c>
      <x:c r="E17" t="str">
        <x:v>21.3</x:v>
      </x:c>
      <x:c r="F17" t="str">
        <x:v>9</x:v>
      </x:c>
      <x:c r="G17" t="str">
        <x:v>open</x:v>
      </x:c>
      <x:c r="H17" t="str"/>
    </x:row>
    <x:row r="18">
      <x:c r="A18" t="str">
        <x:v>O0049</x:v>
      </x:c>
      <x:c r="B18" t="str">
        <x:v>A-203</x:v>
      </x:c>
      <x:c r="C18" t="str">
        <x:v>2026-03-16 09:00</x:v>
      </x:c>
      <x:c r="D18" t="str">
        <x:v>999</x:v>
      </x:c>
      <x:c r="E18" t="str">
        <x:v>21.1</x:v>
      </x:c>
      <x:c r="F18" t="str">
        <x:v>5</x:v>
      </x:c>
      <x:c r="G18" t="str">
        <x:v>closed</x:v>
      </x:c>
      <x:c r="H18" t="str"/>
    </x:row>
    <x:row r="19">
      <x:c r="A19" t="str">
        <x:v>O0031</x:v>
      </x:c>
      <x:c r="B19" t="str">
        <x:v>A-102</x:v>
      </x:c>
      <x:c r="C19" t="str">
        <x:v>2026-03-16 12:00</x:v>
      </x:c>
      <x:c r="D19" t="str">
        <x:v>782</x:v>
      </x:c>
      <x:c r="E19" t="str">
        <x:v>21.3</x:v>
      </x:c>
      <x:c r="F19" t="str">
        <x:v>10</x:v>
      </x:c>
      <x:c r="G19" t="str">
        <x:v>closed</x:v>
      </x:c>
      <x:c r="H19" t="str"/>
    </x:row>
    <x:row r="20">
      <x:c r="A20" t="str">
        <x:v>O0098</x:v>
      </x:c>
      <x:c r="B20" t="str">
        <x:v>B-205</x:v>
      </x:c>
      <x:c r="C20" t="str">
        <x:v>2026-03-16 09:30</x:v>
      </x:c>
      <x:c r="D20" t="str">
        <x:v>633</x:v>
      </x:c>
      <x:c r="E20" t="str">
        <x:v>20.1</x:v>
      </x:c>
      <x:c r="F20" t="str">
        <x:v>8</x:v>
      </x:c>
      <x:c r="G20" t="str">
        <x:v>open</x:v>
      </x:c>
      <x:c r="H20" t="str"/>
    </x:row>
    <x:row r="21">
      <x:c r="A21" t="str">
        <x:v>O0143</x:v>
      </x:c>
      <x:c r="B21" t="str">
        <x:v>B-206</x:v>
      </x:c>
      <x:c r="C21" t="str">
        <x:v>2026-03-17 14:00</x:v>
      </x:c>
      <x:c r="D21" t="str">
        <x:v>768</x:v>
      </x:c>
      <x:c r="E21" t="str">
        <x:v>20.9</x:v>
      </x:c>
      <x:c r="F21" t="str">
        <x:v>22</x:v>
      </x:c>
      <x:c r="G21" t="str">
        <x:v>open</x:v>
      </x:c>
      <x:c r="H21" t="str"/>
    </x:row>
    <x:row r="22">
      <x:c r="A22" t="str">
        <x:v>O0164</x:v>
      </x:c>
      <x:c r="B22" t="str">
        <x:v>C-301</x:v>
      </x:c>
      <x:c r="C22" t="str">
        <x:v>2026-03-17 12:30</x:v>
      </x:c>
      <x:c r="D22" t="str"/>
      <x:c r="E22" t="str">
        <x:v>20.3</x:v>
      </x:c>
      <x:c r="F22" t="str">
        <x:v>7</x:v>
      </x:c>
      <x:c r="G22" t="str">
        <x:v>open</x:v>
      </x:c>
      <x:c r="H22" t="str"/>
    </x:row>
    <x:row r="23">
      <x:c r="A23" t="str">
        <x:v>O0159</x:v>
      </x:c>
      <x:c r="B23" t="str">
        <x:v>C-301</x:v>
      </x:c>
      <x:c r="C23" t="str">
        <x:v>2026-03-17 10:00</x:v>
      </x:c>
      <x:c r="D23" t="str">
        <x:v>680</x:v>
      </x:c>
      <x:c r="E23" t="str">
        <x:v>20.6</x:v>
      </x:c>
      <x:c r="F23" t="str">
        <x:v>11</x:v>
      </x:c>
      <x:c r="G23" t="str">
        <x:v>auto</x:v>
      </x:c>
      <x:c r="H23" t="str"/>
    </x:row>
    <x:row r="24">
      <x:c r="A24" t="str">
        <x:v>O0067</x:v>
      </x:c>
      <x:c r="B24" t="str">
        <x:v>A-203</x:v>
      </x:c>
      <x:c r="C24" t="str">
        <x:v>2026-03-17 12:00</x:v>
      </x:c>
      <x:c r="D24" t="str">
        <x:v>580</x:v>
      </x:c>
      <x:c r="E24" t="str">
        <x:v>20.3</x:v>
      </x:c>
      <x:c r="F24" t="str">
        <x:v>3</x:v>
      </x:c>
      <x:c r="G24" t="str">
        <x:v>auto</x:v>
      </x:c>
      <x:c r="H24" t="str"/>
    </x:row>
    <x:row r="25">
      <x:c r="A25" t="str">
        <x:v>O0119</x:v>
      </x:c>
      <x:c r="B25" t="str">
        <x:v>B-205</x:v>
      </x:c>
      <x:c r="C25" t="str">
        <x:v>2026-03-17 14:00</x:v>
      </x:c>
      <x:c r="D25" t="str">
        <x:v>840</x:v>
      </x:c>
      <x:c r="E25" t="str">
        <x:v>22.2</x:v>
      </x:c>
      <x:c r="F25" t="str">
        <x:v>12</x:v>
      </x:c>
      <x:c r="G25" t="str">
        <x:v>auto</x:v>
      </x:c>
      <x:c r="H25" t="str"/>
    </x:row>
    <x:row r="26">
      <x:c r="A26" t="str">
        <x:v>O0190</x:v>
      </x:c>
      <x:c r="B26" t="str">
        <x:v>C-302</x:v>
      </x:c>
      <x:c r="C26" t="str">
        <x:v>2026-03-17 13:30</x:v>
      </x:c>
      <x:c r="D26" t="str">
        <x:v>745</x:v>
      </x:c>
      <x:c r="E26" t="str">
        <x:v>21.9</x:v>
      </x:c>
      <x:c r="F26" t="str">
        <x:v>44</x:v>
      </x:c>
      <x:c r="G26" t="str">
        <x:v>auto</x:v>
      </x:c>
      <x:c r="H26" t="str"/>
    </x:row>
    <x:row r="27">
      <x:c r="A27" t="str">
        <x:v>O0198</x:v>
      </x:c>
      <x:c r="B27" t="str">
        <x:v>C-405</x:v>
      </x:c>
      <x:c r="C27" t="str">
        <x:v>2026-03-16 11:30</x:v>
      </x:c>
      <x:c r="D27" t="str">
        <x:v>908</x:v>
      </x:c>
      <x:c r="E27" t="str">
        <x:v>22.6</x:v>
      </x:c>
      <x:c r="F27" t="str">
        <x:v>16</x:v>
      </x:c>
      <x:c r="G27" t="str">
        <x:v>auto</x:v>
      </x:c>
      <x:c r="H27" t="str"/>
    </x:row>
    <x:row r="28">
      <x:c r="A28" t="str">
        <x:v>O0077</x:v>
      </x:c>
      <x:c r="B28" t="str">
        <x:v>B-104</x:v>
      </x:c>
      <x:c r="C28" t="str">
        <x:v>2026-03-16 11:00</x:v>
      </x:c>
      <x:c r="D28" t="str">
        <x:v>861</x:v>
      </x:c>
      <x:c r="E28" t="str">
        <x:v>21.3</x:v>
      </x:c>
      <x:c r="F28" t="str">
        <x:v>36</x:v>
      </x:c>
      <x:c r="G28" t="str">
        <x:v>open</x:v>
      </x:c>
      <x:c r="H28" t="str"/>
    </x:row>
    <x:row r="29">
      <x:c r="A29" t="str">
        <x:v>O0161</x:v>
      </x:c>
      <x:c r="B29" t="str">
        <x:v>C-301</x:v>
      </x:c>
      <x:c r="C29" t="str">
        <x:v>2026-03-17 11:00</x:v>
      </x:c>
      <x:c r="D29" t="str">
        <x:v>716</x:v>
      </x:c>
      <x:c r="E29" t="str">
        <x:v>21.1</x:v>
      </x:c>
      <x:c r="F29" t="str">
        <x:v>15</x:v>
      </x:c>
      <x:c r="G29" t="str">
        <x:v>open</x:v>
      </x:c>
      <x:c r="H29" t="str"/>
    </x:row>
    <x:row r="30">
      <x:c r="A30" t="str">
        <x:v>O0072</x:v>
      </x:c>
      <x:c r="B30" t="str">
        <x:v>A-203</x:v>
      </x:c>
      <x:c r="C30" t="str">
        <x:v>2026-03-17 14:30</x:v>
      </x:c>
      <x:c r="D30" t="str">
        <x:v>773</x:v>
      </x:c>
      <x:c r="E30" t="str">
        <x:v>21.7</x:v>
      </x:c>
      <x:c r="F30" t="str">
        <x:v>15</x:v>
      </x:c>
      <x:c r="G30" t="str">
        <x:v>open</x:v>
      </x:c>
      <x:c r="H30" t="str"/>
    </x:row>
    <x:row r="31">
      <x:c r="A31" t="str">
        <x:v>O0125</x:v>
      </x:c>
      <x:c r="B31" t="str">
        <x:v>B-206</x:v>
      </x:c>
      <x:c r="C31" t="str">
        <x:v>2026-03-16 11:00</x:v>
      </x:c>
      <x:c r="D31" t="str">
        <x:v>832</x:v>
      </x:c>
      <x:c r="E31" t="str">
        <x:v>20.7</x:v>
      </x:c>
      <x:c r="F31" t="str">
        <x:v>21</x:v>
      </x:c>
      <x:c r="G31" t="str">
        <x:v>auto</x:v>
      </x:c>
      <x:c r="H31" t="str"/>
    </x:row>
    <x:row r="32">
      <x:c r="A32" t="str">
        <x:v>O0189</x:v>
      </x:c>
      <x:c r="B32" t="str">
        <x:v>C-302</x:v>
      </x:c>
      <x:c r="C32" t="str">
        <x:v>2026-03-17 13:00</x:v>
      </x:c>
      <x:c r="D32" t="str">
        <x:v>682</x:v>
      </x:c>
      <x:c r="E32" t="str">
        <x:v>20.4</x:v>
      </x:c>
      <x:c r="F32" t="str">
        <x:v>34</x:v>
      </x:c>
      <x:c r="G32" t="str">
        <x:v>auto</x:v>
      </x:c>
      <x:c r="H32" t="str"/>
    </x:row>
    <x:row r="33">
      <x:c r="A33" t="str">
        <x:v>O0216</x:v>
      </x:c>
      <x:c r="B33" t="str">
        <x:v>C-405</x:v>
      </x:c>
      <x:c r="C33" t="str">
        <x:v>2026-03-17 14:30</x:v>
      </x:c>
      <x:c r="D33" t="str">
        <x:v>780</x:v>
      </x:c>
      <x:c r="E33" t="str">
        <x:v>21.2</x:v>
      </x:c>
      <x:c r="F33" t="str">
        <x:v>16</x:v>
      </x:c>
      <x:c r="G33" t="str">
        <x:v>open</x:v>
      </x:c>
      <x:c r="H33" t="str"/>
    </x:row>
    <x:row r="34">
      <x:c r="A34" t="str">
        <x:v>O0070</x:v>
      </x:c>
      <x:c r="B34" t="str">
        <x:v>A-203</x:v>
      </x:c>
      <x:c r="C34" t="str">
        <x:v>2026-03-17 13:30</x:v>
      </x:c>
      <x:c r="D34" t="str">
        <x:v>770</x:v>
      </x:c>
      <x:c r="E34" t="str">
        <x:v>20.7</x:v>
      </x:c>
      <x:c r="F34" t="str">
        <x:v>14</x:v>
      </x:c>
      <x:c r="G34" t="str">
        <x:v>open</x:v>
      </x:c>
      <x:c r="H34" t="str"/>
    </x:row>
    <x:row r="35">
      <x:c r="A35" t="str">
        <x:v>O0168</x:v>
      </x:c>
      <x:c r="B35" t="str">
        <x:v>C-301</x:v>
      </x:c>
      <x:c r="C35" t="str">
        <x:v>2026-03-17 14:30</x:v>
      </x:c>
      <x:c r="D35" t="str">
        <x:v>1032</x:v>
      </x:c>
      <x:c r="E35" t="str">
        <x:v>22.0</x:v>
      </x:c>
      <x:c r="F35" t="str">
        <x:v>18</x:v>
      </x:c>
      <x:c r="G35" t="str">
        <x:v>closed</x:v>
      </x:c>
      <x:c r="H35" t="str"/>
    </x:row>
    <x:row r="36">
      <x:c r="A36" t="str">
        <x:v>O0046</x:v>
      </x:c>
      <x:c r="B36" t="str">
        <x:v>A-102</x:v>
      </x:c>
      <x:c r="C36" t="str">
        <x:v>2026-03-17 13:30</x:v>
      </x:c>
      <x:c r="D36" t="str">
        <x:v>688</x:v>
      </x:c>
      <x:c r="E36" t="str">
        <x:v>21.5</x:v>
      </x:c>
      <x:c r="F36" t="str">
        <x:v>-3</x:v>
      </x:c>
      <x:c r="G36" t="str">
        <x:v>auto</x:v>
      </x:c>
      <x:c r="H36" t="str"/>
    </x:row>
    <x:row r="37">
      <x:c r="A37" t="str">
        <x:v>O0176</x:v>
      </x:c>
      <x:c r="B37" t="str">
        <x:v>C-302</x:v>
      </x:c>
      <x:c r="C37" t="str">
        <x:v>2026-03-16 12:30</x:v>
      </x:c>
      <x:c r="D37" t="str">
        <x:v>757</x:v>
      </x:c>
      <x:c r="E37" t="str">
        <x:v>21.6</x:v>
      </x:c>
      <x:c r="F37" t="str">
        <x:v>24</x:v>
      </x:c>
      <x:c r="G37" t="str">
        <x:v>closed</x:v>
      </x:c>
      <x:c r="H37" t="str"/>
    </x:row>
    <x:row r="38">
      <x:c r="A38" t="str">
        <x:v>O0157</x:v>
      </x:c>
      <x:c r="B38" t="str">
        <x:v>c 301</x:v>
      </x:c>
      <x:c r="C38" t="str">
        <x:v>2026-03-17 09:00</x:v>
      </x:c>
      <x:c r="D38" t="str">
        <x:v>418</x:v>
      </x:c>
      <x:c r="E38" t="str">
        <x:v>18.6</x:v>
      </x:c>
      <x:c r="F38" t="str">
        <x:v>1</x:v>
      </x:c>
      <x:c r="G38" t="str">
        <x:v>auto</x:v>
      </x:c>
      <x:c r="H38" t="str"/>
    </x:row>
    <x:row r="39">
      <x:c r="A39" t="str">
        <x:v>O0025</x:v>
      </x:c>
      <x:c r="B39" t="str">
        <x:v>A-102</x:v>
      </x:c>
      <x:c r="C39" t="str">
        <x:v>2026-03-16 09:00</x:v>
      </x:c>
      <x:c r="D39" t="str">
        <x:v>426</x:v>
      </x:c>
      <x:c r="E39" t="str">
        <x:v>20.3</x:v>
      </x:c>
      <x:c r="F39" t="str">
        <x:v>3</x:v>
      </x:c>
      <x:c r="G39" t="str">
        <x:v>open</x:v>
      </x:c>
      <x:c r="H39" t="str"/>
    </x:row>
    <x:row r="40">
      <x:c r="A40" t="str">
        <x:v>O0192</x:v>
      </x:c>
      <x:c r="B40" t="str">
        <x:v>C-302</x:v>
      </x:c>
      <x:c r="C40" t="str">
        <x:v>2026-03-17 14:30</x:v>
      </x:c>
      <x:c r="D40" t="str">
        <x:v>835</x:v>
      </x:c>
      <x:c r="E40" t="str">
        <x:v>22.2</x:v>
      </x:c>
      <x:c r="F40" t="str">
        <x:v>63</x:v>
      </x:c>
      <x:c r="G40" t="str">
        <x:v>auto</x:v>
      </x:c>
      <x:c r="H40" t="str"/>
    </x:row>
    <x:row r="41">
      <x:c r="A41" t="str">
        <x:v>O0005</x:v>
      </x:c>
      <x:c r="B41" t="str">
        <x:v>A-101</x:v>
      </x:c>
      <x:c r="C41" t="str">
        <x:v>2026-03-16 11:00</x:v>
      </x:c>
      <x:c r="D41" t="str">
        <x:v>654</x:v>
      </x:c>
      <x:c r="E41" t="str">
        <x:v>21.6</x:v>
      </x:c>
      <x:c r="F41" t="str">
        <x:v>35</x:v>
      </x:c>
      <x:c r="G41" t="str">
        <x:v>open</x:v>
      </x:c>
      <x:c r="H41" t="str"/>
    </x:row>
    <x:row r="42">
      <x:c r="A42" t="str">
        <x:v>O0101</x:v>
      </x:c>
      <x:c r="B42" t="str">
        <x:v>B-205</x:v>
      </x:c>
      <x:c r="C42" t="str">
        <x:v>2026-03-16 11:00</x:v>
      </x:c>
      <x:c r="D42" t="str">
        <x:v>979</x:v>
      </x:c>
      <x:c r="E42" t="str">
        <x:v>22.6</x:v>
      </x:c>
      <x:c r="F42" t="str">
        <x:v>13</x:v>
      </x:c>
      <x:c r="G42" t="str">
        <x:v>closed</x:v>
      </x:c>
      <x:c r="H42" t="str"/>
    </x:row>
    <x:row r="43">
      <x:c r="A43" t="str">
        <x:v>O0201</x:v>
      </x:c>
      <x:c r="B43" t="str">
        <x:v>C-405</x:v>
      </x:c>
      <x:c r="C43" t="str">
        <x:v>2026-03-16 13:00</x:v>
      </x:c>
      <x:c r="D43" t="str">
        <x:v>743</x:v>
      </x:c>
      <x:c r="E43" t="str">
        <x:v>20.2</x:v>
      </x:c>
      <x:c r="F43" t="str">
        <x:v>13</x:v>
      </x:c>
      <x:c r="G43" t="str">
        <x:v>open</x:v>
      </x:c>
      <x:c r="H43" t="str"/>
    </x:row>
    <x:row r="44">
      <x:c r="A44" t="str">
        <x:v>O0021</x:v>
      </x:c>
      <x:c r="B44" t="str">
        <x:v>A-101</x:v>
      </x:c>
      <x:c r="C44" t="str">
        <x:v>2026-03-17 13:00</x:v>
      </x:c>
      <x:c r="D44" t="str">
        <x:v>907</x:v>
      </x:c>
      <x:c r="E44" t="str">
        <x:v>22.5</x:v>
      </x:c>
      <x:c r="F44" t="str">
        <x:v>29</x:v>
      </x:c>
      <x:c r="G44" t="str">
        <x:v>closed</x:v>
      </x:c>
      <x:c r="H44" t="str"/>
    </x:row>
    <x:row r="45">
      <x:c r="A45" t="str">
        <x:v>O0061</x:v>
      </x:c>
      <x:c r="B45" t="str">
        <x:v>A-203</x:v>
      </x:c>
      <x:c r="C45" t="str">
        <x:v>2026-03-17 09:00</x:v>
      </x:c>
      <x:c r="D45" t="str">
        <x:v>1 250</x:v>
      </x:c>
      <x:c r="E45" t="str">
        <x:v>21.4</x:v>
      </x:c>
      <x:c r="F45" t="str">
        <x:v>8</x:v>
      </x:c>
      <x:c r="G45" t="str">
        <x:v>closed</x:v>
      </x:c>
      <x:c r="H45" t="str"/>
    </x:row>
    <x:row r="46">
      <x:c r="A46" t="str">
        <x:v>O0152</x:v>
      </x:c>
      <x:c r="B46" t="str">
        <x:v>C-301</x:v>
      </x:c>
      <x:c r="C46" t="str">
        <x:v>2026-03-16 12:30</x:v>
      </x:c>
      <x:c r="D46" t="str">
        <x:v>445</x:v>
      </x:c>
      <x:c r="E46" t="str">
        <x:v>20.8</x:v>
      </x:c>
      <x:c r="F46" t="str">
        <x:v>4</x:v>
      </x:c>
      <x:c r="G46" t="str">
        <x:v>open</x:v>
      </x:c>
      <x:c r="H46" t="str"/>
    </x:row>
    <x:row r="47">
      <x:c r="A47" t="str">
        <x:v>O0186</x:v>
      </x:c>
      <x:c r="B47" t="str">
        <x:v>C-302</x:v>
      </x:c>
      <x:c r="C47" t="str">
        <x:v>2026-03-17 11:30</x:v>
      </x:c>
      <x:c r="D47" t="str">
        <x:v>1025</x:v>
      </x:c>
      <x:c r="E47" t="str">
        <x:v>22.7</x:v>
      </x:c>
      <x:c r="F47" t="str">
        <x:v>61</x:v>
      </x:c>
      <x:c r="G47" t="str">
        <x:v>closed</x:v>
      </x:c>
      <x:c r="H47" t="str"/>
    </x:row>
    <x:row r="48">
      <x:c r="A48" t="str">
        <x:v>O0109</x:v>
      </x:c>
      <x:c r="B48" t="str">
        <x:v>D-999</x:v>
      </x:c>
      <x:c r="C48" t="str">
        <x:v>2026-03-17 09:00</x:v>
      </x:c>
      <x:c r="D48" t="str">
        <x:v>473</x:v>
      </x:c>
      <x:c r="E48" t="str">
        <x:v>20.5</x:v>
      </x:c>
      <x:c r="F48" t="str">
        <x:v>4</x:v>
      </x:c>
      <x:c r="G48" t="str">
        <x:v>open</x:v>
      </x:c>
      <x:c r="H48" t="str"/>
    </x:row>
    <x:row r="49">
      <x:c r="A49" t="str">
        <x:v>O0086</x:v>
      </x:c>
      <x:c r="B49" t="str">
        <x:v>B-104</x:v>
      </x:c>
      <x:c r="C49" t="str">
        <x:v>2026-03-17 09:30</x:v>
      </x:c>
      <x:c r="D49" t="str">
        <x:v>596</x:v>
      </x:c>
      <x:c r="E49" t="str">
        <x:v>21.9</x:v>
      </x:c>
      <x:c r="F49" t="str">
        <x:v>13</x:v>
      </x:c>
      <x:c r="G49" t="str">
        <x:v>auto</x:v>
      </x:c>
      <x:c r="H49" t="str"/>
    </x:row>
    <x:row r="50">
      <x:c r="A50" t="str">
        <x:v>O0107</x:v>
      </x:c>
      <x:c r="B50" t="str">
        <x:v>B-205</x:v>
      </x:c>
      <x:c r="C50" t="str">
        <x:v>2026-03-16 14:00</x:v>
      </x:c>
      <x:c r="D50" t="str">
        <x:v>856</x:v>
      </x:c>
      <x:c r="E50" t="str">
        <x:v>21.2</x:v>
      </x:c>
      <x:c r="F50" t="str">
        <x:v>14</x:v>
      </x:c>
      <x:c r="G50" t="str">
        <x:v>auto</x:v>
      </x:c>
      <x:c r="H50" t="str"/>
    </x:row>
    <x:row r="51">
      <x:c r="A51" t="str">
        <x:v>O0135</x:v>
      </x:c>
      <x:c r="B51" t="str">
        <x:v>B-206</x:v>
      </x:c>
      <x:c r="C51" t="str">
        <x:v>2026-03-17 10:00</x:v>
      </x:c>
      <x:c r="D51" t="str">
        <x:v>868</x:v>
      </x:c>
      <x:c r="E51" t="str">
        <x:v>21.1</x:v>
      </x:c>
      <x:c r="F51" t="str">
        <x:v>14</x:v>
      </x:c>
      <x:c r="G51" t="str">
        <x:v>closed</x:v>
      </x:c>
      <x:c r="H51" t="str"/>
    </x:row>
    <x:row r="52">
      <x:c r="A52" t="str">
        <x:v>O0016</x:v>
      </x:c>
      <x:c r="B52" t="str">
        <x:v>A-101</x:v>
      </x:c>
      <x:c r="C52" t="str">
        <x:v>2026-03-17 10:30</x:v>
      </x:c>
      <x:c r="D52" t="str">
        <x:v>805</x:v>
      </x:c>
      <x:c r="E52" t="str">
        <x:v>21.3</x:v>
      </x:c>
      <x:c r="F52" t="str">
        <x:v>39</x:v>
      </x:c>
      <x:c r="G52" t="str">
        <x:v>auto</x:v>
      </x:c>
      <x:c r="H52" t="str"/>
    </x:row>
    <x:row r="53">
      <x:c r="A53" t="str">
        <x:v>O0151</x:v>
      </x:c>
      <x:c r="B53" t="str">
        <x:v>C-301</x:v>
      </x:c>
      <x:c r="C53" t="str">
        <x:v>2026-03-16 12:00</x:v>
      </x:c>
      <x:c r="D53" t="str">
        <x:v>451</x:v>
      </x:c>
      <x:c r="E53" t="str">
        <x:v>20.1</x:v>
      </x:c>
      <x:c r="F53" t="str">
        <x:v>2</x:v>
      </x:c>
      <x:c r="G53" t="str">
        <x:v>open</x:v>
      </x:c>
      <x:c r="H53" t="str"/>
    </x:row>
    <x:row r="54">
      <x:c r="A54" t="str">
        <x:v>O0115</x:v>
      </x:c>
      <x:c r="B54" t="str">
        <x:v>B-205</x:v>
      </x:c>
      <x:c r="C54" t="str">
        <x:v>2026-03-17 12:00</x:v>
      </x:c>
      <x:c r="D54" t="str">
        <x:v>628</x:v>
      </x:c>
      <x:c r="E54" t="str">
        <x:v>20.8</x:v>
      </x:c>
      <x:c r="F54" t="str">
        <x:v>1</x:v>
      </x:c>
      <x:c r="G54" t="str">
        <x:v>closed</x:v>
      </x:c>
      <x:c r="H54" t="str"/>
    </x:row>
    <x:row r="55">
      <x:c r="A55" t="str">
        <x:v>O0035</x:v>
      </x:c>
      <x:c r="B55" t="str">
        <x:v>A-102</x:v>
      </x:c>
      <x:c r="C55" t="str">
        <x:v>2026-03-16 14:00</x:v>
      </x:c>
      <x:c r="D55" t="str">
        <x:v>719</x:v>
      </x:c>
      <x:c r="E55" t="str">
        <x:v>21.8</x:v>
      </x:c>
      <x:c r="F55" t="str">
        <x:v>13</x:v>
      </x:c>
      <x:c r="G55" t="str">
        <x:v>auto</x:v>
      </x:c>
      <x:c r="H55" t="str"/>
    </x:row>
    <x:row r="56">
      <x:c r="A56" t="str">
        <x:v>O0175</x:v>
      </x:c>
      <x:c r="B56" t="str">
        <x:v>C-302</x:v>
      </x:c>
      <x:c r="C56" t="str">
        <x:v>2026-03-16 12:00</x:v>
      </x:c>
      <x:c r="D56" t="str">
        <x:v>680</x:v>
      </x:c>
      <x:c r="E56" t="str">
        <x:v>21.7</x:v>
      </x:c>
      <x:c r="F56" t="str">
        <x:v>14</x:v>
      </x:c>
      <x:c r="G56" t="str">
        <x:v>closed</x:v>
      </x:c>
      <x:c r="H56" t="str"/>
    </x:row>
    <x:row r="57">
      <x:c r="A57" t="str">
        <x:v>O0071</x:v>
      </x:c>
      <x:c r="B57" t="str">
        <x:v>A-203</x:v>
      </x:c>
      <x:c r="C57" t="str">
        <x:v>17.03.2026 14:00</x:v>
      </x:c>
      <x:c r="D57" t="str">
        <x:v>855</x:v>
      </x:c>
      <x:c r="E57" t="str">
        <x:v>20.5</x:v>
      </x:c>
      <x:c r="F57" t="str">
        <x:v>17</x:v>
      </x:c>
      <x:c r="G57" t="str">
        <x:v>open</x:v>
      </x:c>
      <x:c r="H57" t="str"/>
    </x:row>
    <x:row r="58">
      <x:c r="A58" t="str">
        <x:v>O0120</x:v>
      </x:c>
      <x:c r="B58" t="str">
        <x:v>B-205</x:v>
      </x:c>
      <x:c r="C58" t="str">
        <x:v>2026-03-17 14:30</x:v>
      </x:c>
      <x:c r="D58" t="str">
        <x:v>761</x:v>
      </x:c>
      <x:c r="E58" t="str">
        <x:v>21.6</x:v>
      </x:c>
      <x:c r="F58" t="str">
        <x:v>10</x:v>
      </x:c>
      <x:c r="G58" t="str">
        <x:v>auto</x:v>
      </x:c>
      <x:c r="H58" t="str"/>
    </x:row>
    <x:row r="59">
      <x:c r="A59" t="str">
        <x:v>O0030</x:v>
      </x:c>
      <x:c r="B59" t="str">
        <x:v>A-102</x:v>
      </x:c>
      <x:c r="C59" t="str">
        <x:v>2026-03-16 11:30</x:v>
      </x:c>
      <x:c r="D59" t="str">
        <x:v>884</x:v>
      </x:c>
      <x:c r="E59" t="str">
        <x:v>22.9</x:v>
      </x:c>
      <x:c r="F59" t="str">
        <x:v>16</x:v>
      </x:c>
      <x:c r="G59" t="str">
        <x:v>closed</x:v>
      </x:c>
      <x:c r="H59" t="str"/>
    </x:row>
    <x:row r="60">
      <x:c r="A60" t="str">
        <x:v>O0087</x:v>
      </x:c>
      <x:c r="B60" t="str">
        <x:v>B-104</x:v>
      </x:c>
      <x:c r="C60" t="str">
        <x:v>2026-03-17 10:00</x:v>
      </x:c>
      <x:c r="D60" t="str">
        <x:v>601</x:v>
      </x:c>
      <x:c r="E60" t="str">
        <x:v>20.8</x:v>
      </x:c>
      <x:c r="F60" t="str">
        <x:v>19</x:v>
      </x:c>
      <x:c r="G60" t="str">
        <x:v>auto</x:v>
      </x:c>
      <x:c r="H60" t="str"/>
    </x:row>
    <x:row r="61">
      <x:c r="A61" t="str">
        <x:v>O0166</x:v>
      </x:c>
      <x:c r="B61" t="str">
        <x:v>C-301</x:v>
      </x:c>
      <x:c r="C61" t="str">
        <x:v>17.03.2026 13:30</x:v>
      </x:c>
      <x:c r="D61" t="str">
        <x:v>806</x:v>
      </x:c>
      <x:c r="E61" t="str">
        <x:v>23.2</x:v>
      </x:c>
      <x:c r="F61" t="str">
        <x:v>11</x:v>
      </x:c>
      <x:c r="G61" t="str">
        <x:v>closed</x:v>
      </x:c>
      <x:c r="H61" t="str"/>
    </x:row>
    <x:row r="62">
      <x:c r="A62" t="str">
        <x:v>O0171</x:v>
      </x:c>
      <x:c r="B62" t="str">
        <x:v>C-302</x:v>
      </x:c>
      <x:c r="C62" t="str">
        <x:v>2026-03-16 10:00</x:v>
      </x:c>
      <x:c r="D62" t="str">
        <x:v>545</x:v>
      </x:c>
      <x:c r="E62" t="str">
        <x:v>21.2</x:v>
      </x:c>
      <x:c r="F62" t="str">
        <x:v>28</x:v>
      </x:c>
      <x:c r="G62" t="str">
        <x:v>open</x:v>
      </x:c>
      <x:c r="H62" t="str"/>
    </x:row>
    <x:row r="63">
      <x:c r="A63" t="str">
        <x:v>O0108</x:v>
      </x:c>
      <x:c r="B63" t="str">
        <x:v>B-205</x:v>
      </x:c>
      <x:c r="C63" t="str">
        <x:v>2026-03-16 14:30</x:v>
      </x:c>
      <x:c r="D63" t="str">
        <x:v>674</x:v>
      </x:c>
      <x:c r="E63" t="str">
        <x:v>20.1</x:v>
      </x:c>
      <x:c r="F63" t="str">
        <x:v>9</x:v>
      </x:c>
      <x:c r="G63" t="str">
        <x:v>auto</x:v>
      </x:c>
      <x:c r="H63" t="str"/>
    </x:row>
    <x:row r="64">
      <x:c r="A64" t="str">
        <x:v>O0043</x:v>
      </x:c>
      <x:c r="B64" t="str">
        <x:v>A-102</x:v>
      </x:c>
      <x:c r="C64" t="str">
        <x:v>2026-03-17 12:00</x:v>
      </x:c>
      <x:c r="D64" t="str">
        <x:v>655</x:v>
      </x:c>
      <x:c r="E64" t="str">
        <x:v>20.8</x:v>
      </x:c>
      <x:c r="F64" t="str">
        <x:v>4</x:v>
      </x:c>
      <x:c r="G64" t="str">
        <x:v>closed</x:v>
      </x:c>
      <x:c r="H64" t="str"/>
    </x:row>
    <x:row r="65">
      <x:c r="A65" t="str">
        <x:v>O0081</x:v>
      </x:c>
      <x:c r="B65" t="str">
        <x:v>B-104</x:v>
      </x:c>
      <x:c r="C65" t="str">
        <x:v>2026-03-16 13:00</x:v>
      </x:c>
      <x:c r="D65" t="str">
        <x:v>785</x:v>
      </x:c>
      <x:c r="E65" t="str">
        <x:v>22.1</x:v>
      </x:c>
      <x:c r="F65" t="str">
        <x:v>18</x:v>
      </x:c>
      <x:c r="G65" t="str">
        <x:v>closed</x:v>
      </x:c>
      <x:c r="H65" t="str"/>
    </x:row>
    <x:row r="66">
      <x:c r="A66" t="str">
        <x:v>O9998</x:v>
      </x:c>
      <x:c r="B66" t="str">
        <x:v>B-104</x:v>
      </x:c>
      <x:c r="C66" t="str">
        <x:v>2026-03-17 16:15</x:v>
      </x:c>
      <x:c r="D66" t="str">
        <x:v>596</x:v>
      </x:c>
      <x:c r="E66" t="str">
        <x:v>21.9</x:v>
      </x:c>
      <x:c r="F66" t="str">
        <x:v>13</x:v>
      </x:c>
      <x:c r="G66" t="str">
        <x:v>auto</x:v>
      </x:c>
      <x:c r="H66" t="str"/>
    </x:row>
    <x:row r="67">
      <x:c r="A67" t="str">
        <x:v>O0121</x:v>
      </x:c>
      <x:c r="B67" t="str">
        <x:v>B-206</x:v>
      </x:c>
      <x:c r="C67" t="str">
        <x:v>2026-03-16 09:00</x:v>
      </x:c>
      <x:c r="D67" t="str">
        <x:v>765</x:v>
      </x:c>
      <x:c r="E67" t="str">
        <x:v>21.6</x:v>
      </x:c>
      <x:c r="F67" t="str">
        <x:v>10</x:v>
      </x:c>
      <x:c r="G67" t="str">
        <x:v>closed</x:v>
      </x:c>
      <x:c r="H67" t="str"/>
    </x:row>
    <x:row r="68">
      <x:c r="A68" t="str">
        <x:v>O0207</x:v>
      </x:c>
      <x:c r="B68" t="str">
        <x:v>C-405</x:v>
      </x:c>
      <x:c r="C68" t="str">
        <x:v>2026-03-17 10:00</x:v>
      </x:c>
      <x:c r="D68" t="str">
        <x:v>858</x:v>
      </x:c>
      <x:c r="E68" t="str">
        <x:v>22.2</x:v>
      </x:c>
      <x:c r="F68" t="str">
        <x:v>8</x:v>
      </x:c>
      <x:c r="G68" t="str">
        <x:v>closed</x:v>
      </x:c>
      <x:c r="H68" t="str"/>
    </x:row>
    <x:row r="69">
      <x:c r="A69" t="str">
        <x:v>O0163</x:v>
      </x:c>
      <x:c r="B69" t="str">
        <x:v>C-301</x:v>
      </x:c>
      <x:c r="C69" t="str">
        <x:v>2026-03-17 12:00</x:v>
      </x:c>
      <x:c r="D69" t="str">
        <x:v>375</x:v>
      </x:c>
      <x:c r="E69" t="str">
        <x:v>19.5</x:v>
      </x:c>
      <x:c r="F69" t="str">
        <x:v>1</x:v>
      </x:c>
      <x:c r="G69" t="str">
        <x:v>open</x:v>
      </x:c>
      <x:c r="H69" t="str"/>
    </x:row>
    <x:row r="70">
      <x:c r="A70" t="str">
        <x:v>O0032</x:v>
      </x:c>
      <x:c r="B70" t="str">
        <x:v>A-102</x:v>
      </x:c>
      <x:c r="C70" t="str">
        <x:v>2026-03-16 12:30</x:v>
      </x:c>
      <x:c r="D70" t="str">
        <x:v>682</x:v>
      </x:c>
      <x:c r="E70" t="str">
        <x:v>22.2</x:v>
      </x:c>
      <x:c r="F70" t="str">
        <x:v>8</x:v>
      </x:c>
      <x:c r="G70" t="str">
        <x:v>closed</x:v>
      </x:c>
      <x:c r="H70" t="str"/>
    </x:row>
    <x:row r="71">
      <x:c r="A71" t="str">
        <x:v>O0014</x:v>
      </x:c>
      <x:c r="B71" t="str">
        <x:v>A-101</x:v>
      </x:c>
      <x:c r="C71" t="str">
        <x:v>2026-03-17 09:30</x:v>
      </x:c>
      <x:c r="D71" t="str">
        <x:v>624</x:v>
      </x:c>
      <x:c r="E71" t="str">
        <x:v>20.6</x:v>
      </x:c>
      <x:c r="F71" t="str">
        <x:v>16</x:v>
      </x:c>
      <x:c r="G71" t="str">
        <x:v>auto</x:v>
      </x:c>
      <x:c r="H71" t="str"/>
    </x:row>
    <x:row r="72">
      <x:c r="A72" t="str">
        <x:v>O0084</x:v>
      </x:c>
      <x:c r="B72" t="str">
        <x:v>B-104</x:v>
      </x:c>
      <x:c r="C72" t="str">
        <x:v>2026-03-16 14:30</x:v>
      </x:c>
      <x:c r="D72" t="str">
        <x:v>1146</x:v>
      </x:c>
      <x:c r="E72" t="str">
        <x:v>22.8</x:v>
      </x:c>
      <x:c r="F72" t="str">
        <x:v>43</x:v>
      </x:c>
      <x:c r="G72" t="str">
        <x:v>closed</x:v>
      </x:c>
      <x:c r="H72" t="str"/>
    </x:row>
    <x:row r="73">
      <x:c r="A73" t="str">
        <x:v>O0099</x:v>
      </x:c>
      <x:c r="B73" t="str">
        <x:v>B-205</x:v>
      </x:c>
      <x:c r="C73" t="str">
        <x:v>2026-03-16 10:00</x:v>
      </x:c>
      <x:c r="D73" t="str">
        <x:v>692</x:v>
      </x:c>
      <x:c r="E73" t="str">
        <x:v>21.0</x:v>
      </x:c>
      <x:c r="F73" t="str">
        <x:v>7</x:v>
      </x:c>
      <x:c r="G73" t="str">
        <x:v>open</x:v>
      </x:c>
      <x:c r="H73" t="str"/>
    </x:row>
    <x:row r="74">
      <x:c r="A74" t="str">
        <x:v>O0040</x:v>
      </x:c>
      <x:c r="B74" t="str">
        <x:v>A-102</x:v>
      </x:c>
      <x:c r="C74" t="str">
        <x:v>2026-03-17 10:30</x:v>
      </x:c>
      <x:c r="D74" t="str">
        <x:v>727</x:v>
      </x:c>
      <x:c r="E74" t="str">
        <x:v>21.2</x:v>
      </x:c>
      <x:c r="F74" t="str">
        <x:v>15</x:v>
      </x:c>
      <x:c r="G74" t="str">
        <x:v>open</x:v>
      </x:c>
      <x:c r="H74" t="str"/>
    </x:row>
    <x:row r="75">
      <x:c r="A75" t="str">
        <x:v>O0179</x:v>
      </x:c>
      <x:c r="B75" t="str">
        <x:v>C-302</x:v>
      </x:c>
      <x:c r="C75" t="str">
        <x:v>2026-03-16 14:00</x:v>
      </x:c>
      <x:c r="D75" t="str">
        <x:v>933</x:v>
      </x:c>
      <x:c r="E75" t="str">
        <x:v>21.3</x:v>
      </x:c>
      <x:c r="F75" t="str">
        <x:v>51</x:v>
      </x:c>
      <x:c r="G75" t="str">
        <x:v>auto</x:v>
      </x:c>
      <x:c r="H75" t="str"/>
    </x:row>
    <x:row r="76">
      <x:c r="A76" t="str">
        <x:v>O0130</x:v>
      </x:c>
      <x:c r="B76" t="str">
        <x:v>B-206</x:v>
      </x:c>
      <x:c r="C76" t="str">
        <x:v>2026-03-16 13:30</x:v>
      </x:c>
      <x:c r="D76" t="str">
        <x:v>729</x:v>
      </x:c>
      <x:c r="E76" t="str">
        <x:v>21.2</x:v>
      </x:c>
      <x:c r="F76" t="str">
        <x:v>19</x:v>
      </x:c>
      <x:c r="G76" t="str">
        <x:v>open</x:v>
      </x:c>
      <x:c r="H76" t="str"/>
    </x:row>
    <x:row r="77">
      <x:c r="A77" t="str">
        <x:v>O0150</x:v>
      </x:c>
      <x:c r="B77" t="str">
        <x:v>C-301</x:v>
      </x:c>
      <x:c r="C77" t="str">
        <x:v>2026-03-16 11:30</x:v>
      </x:c>
      <x:c r="D77" t="str">
        <x:v>709</x:v>
      </x:c>
      <x:c r="E77" t="str">
        <x:v>21.1</x:v>
      </x:c>
      <x:c r="F77" t="str">
        <x:v>17</x:v>
      </x:c>
      <x:c r="G77" t="str">
        <x:v>open</x:v>
      </x:c>
      <x:c r="H77" t="str"/>
    </x:row>
    <x:row r="78">
      <x:c r="A78" t="str">
        <x:v>O0094</x:v>
      </x:c>
      <x:c r="B78" t="str">
        <x:v>B-104</x:v>
      </x:c>
      <x:c r="C78" t="str">
        <x:v>2026-03-17 13:30</x:v>
      </x:c>
      <x:c r="D78" t="str">
        <x:v>907</x:v>
      </x:c>
      <x:c r="E78" t="str">
        <x:v>22.9</x:v>
      </x:c>
      <x:c r="F78" t="str">
        <x:v>26</x:v>
      </x:c>
      <x:c r="G78" t="str">
        <x:v>closed</x:v>
      </x:c>
      <x:c r="H78" t="str"/>
    </x:row>
    <x:row r="79">
      <x:c r="A79" t="str">
        <x:v>O0074</x:v>
      </x:c>
      <x:c r="B79" t="str">
        <x:v>B-104</x:v>
      </x:c>
      <x:c r="C79" t="str">
        <x:v>2026-03-16 09:30</x:v>
      </x:c>
      <x:c r="D79" t="str">
        <x:v>581</x:v>
      </x:c>
      <x:c r="E79" t="str">
        <x:v>19.9</x:v>
      </x:c>
      <x:c r="F79" t="str">
        <x:v>10</x:v>
      </x:c>
      <x:c r="G79" t="str">
        <x:v>auto</x:v>
      </x:c>
      <x:c r="H79" t="str"/>
    </x:row>
    <x:row r="80">
      <x:c r="A80" t="str">
        <x:v>O0124</x:v>
      </x:c>
      <x:c r="B80" t="str">
        <x:v>B-206</x:v>
      </x:c>
      <x:c r="C80" t="str">
        <x:v>2026-03-16 10:30</x:v>
      </x:c>
      <x:c r="D80" t="str">
        <x:v>987</x:v>
      </x:c>
      <x:c r="E80" t="str">
        <x:v>21.8</x:v>
      </x:c>
      <x:c r="F80" t="str">
        <x:v>19</x:v>
      </x:c>
      <x:c r="G80" t="str">
        <x:v>closed</x:v>
      </x:c>
      <x:c r="H80" t="str"/>
    </x:row>
    <x:row r="81">
      <x:c r="A81" t="str">
        <x:v>O0202</x:v>
      </x:c>
      <x:c r="B81" t="str">
        <x:v>C-405</x:v>
      </x:c>
      <x:c r="C81" t="str">
        <x:v>2026-03-16 13:30</x:v>
      </x:c>
      <x:c r="D81" t="str">
        <x:v>691</x:v>
      </x:c>
      <x:c r="E81" t="str">
        <x:v>21.3</x:v>
      </x:c>
      <x:c r="F81" t="str">
        <x:v>11</x:v>
      </x:c>
      <x:c r="G81" t="str">
        <x:v>open</x:v>
      </x:c>
      <x:c r="H81" t="str"/>
    </x:row>
    <x:row r="82">
      <x:c r="A82" t="str">
        <x:v>O0113</x:v>
      </x:c>
      <x:c r="B82" t="str">
        <x:v>B-205</x:v>
      </x:c>
      <x:c r="C82" t="str">
        <x:v>2026-03-17 11:00</x:v>
      </x:c>
      <x:c r="D82" t="str">
        <x:v>1180</x:v>
      </x:c>
      <x:c r="E82" t="str">
        <x:v>23.3</x:v>
      </x:c>
      <x:c r="F82" t="str">
        <x:v>17</x:v>
      </x:c>
      <x:c r="G82" t="str">
        <x:v>closed</x:v>
      </x:c>
      <x:c r="H82" t="str"/>
    </x:row>
    <x:row r="83">
      <x:c r="A83" t="str">
        <x:v>O0038</x:v>
      </x:c>
      <x:c r="B83" t="str">
        <x:v>A-102</x:v>
      </x:c>
      <x:c r="C83" t="str">
        <x:v>2026-03-17 09:30</x:v>
      </x:c>
      <x:c r="D83" t="str">
        <x:v>433</x:v>
      </x:c>
      <x:c r="E83" t="str">
        <x:v>20.3</x:v>
      </x:c>
      <x:c r="F83" t="str">
        <x:v>5</x:v>
      </x:c>
      <x:c r="G83" t="str">
        <x:v>open</x:v>
      </x:c>
      <x:c r="H83" t="str"/>
    </x:row>
    <x:row r="84">
      <x:c r="A84" t="str">
        <x:v>O0048</x:v>
      </x:c>
      <x:c r="B84" t="str">
        <x:v>A-102</x:v>
      </x:c>
      <x:c r="C84" t="str">
        <x:v>2026-03-17 14:30</x:v>
      </x:c>
      <x:c r="D84" t="str">
        <x:v>963</x:v>
      </x:c>
      <x:c r="E84" t="str">
        <x:v>21.1</x:v>
      </x:c>
      <x:c r="F84" t="str">
        <x:v>22</x:v>
      </x:c>
      <x:c r="G84" t="str">
        <x:v>auto</x:v>
      </x:c>
      <x:c r="H84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3" customHeight="1">
      <x:c r="A1" s="16" t="str">
        <x:v>Справочник помещений · связь многие-к-одному</x:v>
      </x:c>
      <x:c r="B1" s="16"/>
      <x:c r="C1" s="16"/>
      <x:c r="D1" s="16"/>
      <x:c r="E1" s="16"/>
      <x:c r="F1" s="16"/>
    </x:row>
    <x:row r="5">
      <x:c r="A5" s="13" t="str">
        <x:v>room_id</x:v>
      </x:c>
      <x:c r="B5" s="13" t="str">
        <x:v>building</x:v>
      </x:c>
      <x:c r="C5" s="13" t="str">
        <x:v>room_type</x:v>
      </x:c>
      <x:c r="D5" s="13" t="str">
        <x:v>capacity</x:v>
      </x:c>
      <x:c r="E5" s="13" t="str">
        <x:v>floor</x:v>
      </x:c>
      <x:c r="F5" s="13" t="str">
        <x:v>sensor_id</x:v>
      </x:c>
    </x:row>
    <x:row r="6">
      <x:c r="A6" t="str">
        <x:v>A-101</x:v>
      </x:c>
      <x:c r="B6" t="str">
        <x:v>Северный</x:v>
      </x:c>
      <x:c r="C6" t="str">
        <x:v>лекционная</x:v>
      </x:c>
      <x:c r="D6" t="n">
        <x:v>60</x:v>
      </x:c>
      <x:c r="E6" t="n">
        <x:v>1</x:v>
      </x:c>
      <x:c r="F6" t="str">
        <x:v>SN-101</x:v>
      </x:c>
    </x:row>
    <x:row r="7">
      <x:c r="A7" t="str">
        <x:v>A-102</x:v>
      </x:c>
      <x:c r="B7" t="str">
        <x:v>Северный</x:v>
      </x:c>
      <x:c r="C7" t="str">
        <x:v>семинарская</x:v>
      </x:c>
      <x:c r="D7" t="n">
        <x:v>28</x:v>
      </x:c>
      <x:c r="E7" t="n">
        <x:v>1</x:v>
      </x:c>
      <x:c r="F7" t="str">
        <x:v>SN-102</x:v>
      </x:c>
    </x:row>
    <x:row r="8">
      <x:c r="A8" t="str">
        <x:v>A-203</x:v>
      </x:c>
      <x:c r="B8" t="str">
        <x:v>Северный</x:v>
      </x:c>
      <x:c r="C8" t="str">
        <x:v>лабораторная</x:v>
      </x:c>
      <x:c r="D8" t="n">
        <x:v>22</x:v>
      </x:c>
      <x:c r="E8" t="n">
        <x:v>2</x:v>
      </x:c>
      <x:c r="F8" t="str">
        <x:v>SN-203</x:v>
      </x:c>
    </x:row>
    <x:row r="9">
      <x:c r="A9" t="str">
        <x:v>B-104</x:v>
      </x:c>
      <x:c r="B9" t="str">
        <x:v>Южный</x:v>
      </x:c>
      <x:c r="C9" t="str">
        <x:v>лекционная</x:v>
      </x:c>
      <x:c r="D9" t="n">
        <x:v>48</x:v>
      </x:c>
      <x:c r="E9" t="n">
        <x:v>1</x:v>
      </x:c>
      <x:c r="F9" t="str">
        <x:v>SS-104</x:v>
      </x:c>
    </x:row>
    <x:row r="10">
      <x:c r="A10" t="str">
        <x:v>B-205</x:v>
      </x:c>
      <x:c r="B10" t="str">
        <x:v>Южный</x:v>
      </x:c>
      <x:c r="C10" t="str">
        <x:v>лабораторная</x:v>
      </x:c>
      <x:c r="D10" t="n">
        <x:v>18</x:v>
      </x:c>
      <x:c r="E10" t="n">
        <x:v>2</x:v>
      </x:c>
      <x:c r="F10" t="str">
        <x:v>SS-205</x:v>
      </x:c>
    </x:row>
    <x:row r="11">
      <x:c r="A11" t="str">
        <x:v>B-206</x:v>
      </x:c>
      <x:c r="B11" t="str">
        <x:v>Южный</x:v>
      </x:c>
      <x:c r="C11" t="str">
        <x:v>семинарская</x:v>
      </x:c>
      <x:c r="D11" t="n">
        <x:v>32</x:v>
      </x:c>
      <x:c r="E11" t="n">
        <x:v>2</x:v>
      </x:c>
      <x:c r="F11" t="str">
        <x:v>SS-206</x:v>
      </x:c>
    </x:row>
    <x:row r="12">
      <x:c r="A12" t="str">
        <x:v>C-301</x:v>
      </x:c>
      <x:c r="B12" t="str">
        <x:v>Центральный</x:v>
      </x:c>
      <x:c r="C12" t="str">
        <x:v>семинарская</x:v>
      </x:c>
      <x:c r="D12" t="n">
        <x:v>25</x:v>
      </x:c>
      <x:c r="E12" t="n">
        <x:v>3</x:v>
      </x:c>
      <x:c r="F12" t="str">
        <x:v>SC-301</x:v>
      </x:c>
    </x:row>
    <x:row r="13">
      <x:c r="A13" t="str">
        <x:v>C-302</x:v>
      </x:c>
      <x:c r="B13" t="str">
        <x:v>Центральный</x:v>
      </x:c>
      <x:c r="C13" t="str">
        <x:v>лекционная</x:v>
      </x:c>
      <x:c r="D13" t="n">
        <x:v>75</x:v>
      </x:c>
      <x:c r="E13" t="n">
        <x:v>3</x:v>
      </x:c>
      <x:c r="F13" t="str">
        <x:v>SC-302</x:v>
      </x:c>
    </x:row>
    <x:row r="14">
      <x:c r="A14" t="str">
        <x:v>C-405</x:v>
      </x:c>
      <x:c r="B14" t="str">
        <x:v>Центральный</x:v>
      </x:c>
      <x:c r="C14" t="str">
        <x:v>творческая</x:v>
      </x:c>
      <x:c r="D14" t="n">
        <x:v>20</x:v>
      </x:c>
      <x:c r="E14" t="n">
        <x:v>4</x:v>
      </x:c>
      <x:c r="F14" t="str">
        <x:v>SC-405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3" customHeight="1">
      <x:c r="A1" s="16" t="str">
        <x:v>Тема 04 · протокол изменения данных</x:v>
      </x:c>
      <x:c r="B1" s="16"/>
      <x:c r="C1" s="16"/>
      <x:c r="D1" s="16"/>
      <x:c r="E1" s="16"/>
      <x:c r="F1" s="16"/>
      <x:c r="G1" s="16"/>
    </x:row>
    <x:row r="5" ht="25" customHeight="1">
      <x:c r="A5" s="13" t="str">
        <x:v>record_id</x:v>
      </x:c>
      <x:c r="B5" s="13" t="str">
        <x:v>проблема</x:v>
      </x:c>
      <x:c r="C5" s="13" t="str">
        <x:v>исходное</x:v>
      </x:c>
      <x:c r="D5" s="13" t="str">
        <x:v>решение</x:v>
      </x:c>
      <x:c r="E5" s="13" t="str">
        <x:v>новое</x:v>
      </x:c>
      <x:c r="F5" s="13" t="str">
        <x:v>основание</x:v>
      </x:c>
      <x:c r="G5" s="13" t="str">
        <x:v>проверка</x:v>
      </x:c>
    </x:row>
    <x:row r="6" ht="30" customHeight="1"/>
    <x:row r="7" ht="30" customHeight="1"/>
    <x:row r="8" ht="30" customHeight="1"/>
    <x:row r="9" ht="30" customHeight="1"/>
    <x:row r="10" ht="30" customHeight="1"/>
    <x:row r="11" ht="30" customHeight="1"/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</x:sheetData>
  <x:mergeCells>
    <x:mergeCell ref="A1:G1"/>
  </x:mergeCells>
  <x:dataValidations count="1">
    <x:dataValidation type="list" sqref="D6:D25">
      <x:formula1>"исправить,сохранить с флагом,карантин,без изменений,технический дубль"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24" hidden="0" customWidth="1"/>
    <x:col min="10" max="10" width="18" hidden="0" customWidth="1"/>
    <x:col min="11" max="11" width="18" hidden="0" customWidth="1"/>
  </x:cols>
  <x:sheetData>
    <x:row r="1" ht="34" customHeight="1">
      <x:c r="A1" s="16" t="str">
        <x:v>Тема 05 · пример таблицы признаков с вычисляемыми столбцами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5" ht="27" customHeight="1">
      <x:c r="A5" s="13" t="str">
        <x:v>record_id</x:v>
      </x:c>
      <x:c r="B5" s="13" t="str">
        <x:v>room_code</x:v>
      </x:c>
      <x:c r="C5" s="13" t="str">
        <x:v>co2_ppm</x:v>
      </x:c>
      <x:c r="D5" s="13" t="str">
        <x:v>temp_c</x:v>
      </x:c>
      <x:c r="E5" s="13" t="str">
        <x:v>people_count</x:v>
      </x:c>
      <x:c r="F5" s="13" t="str">
        <x:v>capacity</x:v>
      </x:c>
      <x:c r="G5" s="13" t="str">
        <x:v>occupancy_ratio</x:v>
      </x:c>
      <x:c r="H5" s="13" t="str">
        <x:v>room_type</x:v>
      </x:c>
      <x:c r="I5" s="13" t="str">
        <x:v>observed_at</x:v>
      </x:c>
      <x:c r="J5" s="13" t="str">
        <x:v>day</x:v>
      </x:c>
      <x:c r="K5" s="13" t="str">
        <x:v>hour</x:v>
      </x:c>
    </x:row>
    <x:row r="6">
      <x:c r="A6" t="str">
        <x:v>O0001</x:v>
      </x:c>
      <x:c r="B6" t="str">
        <x:v>A-101</x:v>
      </x:c>
      <x:c r="C6" t="n">
        <x:v>574</x:v>
      </x:c>
      <x:c r="D6" t="n">
        <x:v>19.7</x:v>
      </x:c>
      <x:c r="E6" t="n">
        <x:v>10</x:v>
      </x:c>
      <x:c r="F6" t="n">
        <x:f>IFERROR(VLOOKUP(B6,'03_Справочник'!$A$6:$F$14,4,FALSE),"")</x:f>
        <x:v>60</x:v>
      </x:c>
      <x:c r="G6" s="18" t="n">
        <x:f>IFERROR(E6/F6,"")</x:f>
        <x:v>0.16666666666666666</x:v>
      </x:c>
      <x:c r="H6" t="str">
        <x:f>IFERROR(VLOOKUP(B6,'03_Справочник'!$A$6:$F$14,3,FALSE),"")</x:f>
        <x:v>лекционная</x:v>
      </x:c>
      <x:c r="I6" t="str">
        <x:v>2026-03-16 09:00</x:v>
      </x:c>
      <x:c r="J6" t="str">
        <x:f>LEFT(I6,10)</x:f>
        <x:v>2026-03-16</x:v>
      </x:c>
      <x:c r="K6" t="n">
        <x:f>VALUE(MID(I6,12,2))</x:f>
        <x:v>9</x:v>
      </x:c>
    </x:row>
    <x:row r="7">
      <x:c r="A7" t="str">
        <x:v>O0002</x:v>
      </x:c>
      <x:c r="B7" t="str">
        <x:v>A-101</x:v>
      </x:c>
      <x:c r="C7" t="n">
        <x:v>603</x:v>
      </x:c>
      <x:c r="D7" t="n">
        <x:v>20.8</x:v>
      </x:c>
      <x:c r="E7" t="n">
        <x:v>17</x:v>
      </x:c>
      <x:c r="F7" t="n">
        <x:f>IFERROR(VLOOKUP(B7,'03_Справочник'!$A$6:$F$14,4,FALSE),"")</x:f>
        <x:v>60</x:v>
      </x:c>
      <x:c r="G7" s="18" t="n">
        <x:f>IFERROR(E7/F7,"")</x:f>
        <x:v>0.2833333333333333</x:v>
      </x:c>
      <x:c r="H7" t="str">
        <x:f>IFERROR(VLOOKUP(B7,'03_Справочник'!$A$6:$F$14,3,FALSE),"")</x:f>
        <x:v>лекционная</x:v>
      </x:c>
      <x:c r="I7" t="str">
        <x:v>2026-03-16 09:30</x:v>
      </x:c>
      <x:c r="J7" t="str">
        <x:f>LEFT(I7,10)</x:f>
        <x:v>2026-03-16</x:v>
      </x:c>
      <x:c r="K7" t="n">
        <x:f>VALUE(MID(I7,12,2))</x:f>
        <x:v>9</x:v>
      </x:c>
    </x:row>
    <x:row r="8">
      <x:c r="A8" t="str">
        <x:v>O0003</x:v>
      </x:c>
      <x:c r="B8" t="str">
        <x:v>A-101</x:v>
      </x:c>
      <x:c r="C8" t="n">
        <x:v>655</x:v>
      </x:c>
      <x:c r="D8" t="n">
        <x:v>20.8</x:v>
      </x:c>
      <x:c r="E8" t="n">
        <x:v>21</x:v>
      </x:c>
      <x:c r="F8" t="n">
        <x:f>IFERROR(VLOOKUP(B8,'03_Справочник'!$A$6:$F$14,4,FALSE),"")</x:f>
        <x:v>60</x:v>
      </x:c>
      <x:c r="G8" s="18" t="n">
        <x:f>IFERROR(E8/F8,"")</x:f>
        <x:v>0.35</x:v>
      </x:c>
      <x:c r="H8" t="str">
        <x:f>IFERROR(VLOOKUP(B8,'03_Справочник'!$A$6:$F$14,3,FALSE),"")</x:f>
        <x:v>лекционная</x:v>
      </x:c>
      <x:c r="I8" t="str">
        <x:v>2026-03-16 10:00</x:v>
      </x:c>
      <x:c r="J8" t="str">
        <x:f>LEFT(I8,10)</x:f>
        <x:v>2026-03-16</x:v>
      </x:c>
      <x:c r="K8" t="n">
        <x:f>VALUE(MID(I8,12,2))</x:f>
        <x:v>10</x:v>
      </x:c>
    </x:row>
    <x:row r="9">
      <x:c r="A9" t="str">
        <x:v>O0004</x:v>
      </x:c>
      <x:c r="B9" t="str">
        <x:v>A-101</x:v>
      </x:c>
      <x:c r="C9" t="n">
        <x:v>781</x:v>
      </x:c>
      <x:c r="D9" t="n">
        <x:v>21.4</x:v>
      </x:c>
      <x:c r="E9" t="n">
        <x:v>38</x:v>
      </x:c>
      <x:c r="F9" t="n">
        <x:f>IFERROR(VLOOKUP(B9,'03_Справочник'!$A$6:$F$14,4,FALSE),"")</x:f>
        <x:v>60</x:v>
      </x:c>
      <x:c r="G9" s="18" t="n">
        <x:f>IFERROR(E9/F9,"")</x:f>
        <x:v>0.6333333333333333</x:v>
      </x:c>
      <x:c r="H9" t="str">
        <x:f>IFERROR(VLOOKUP(B9,'03_Справочник'!$A$6:$F$14,3,FALSE),"")</x:f>
        <x:v>лекционная</x:v>
      </x:c>
      <x:c r="I9" t="str">
        <x:v>2026-03-16 10:30</x:v>
      </x:c>
      <x:c r="J9" t="str">
        <x:f>LEFT(I9,10)</x:f>
        <x:v>2026-03-16</x:v>
      </x:c>
      <x:c r="K9" t="n">
        <x:f>VALUE(MID(I9,12,2))</x:f>
        <x:v>10</x:v>
      </x:c>
    </x:row>
    <x:row r="10">
      <x:c r="A10" t="str">
        <x:v>O0005</x:v>
      </x:c>
      <x:c r="B10" t="str">
        <x:v>A-101</x:v>
      </x:c>
      <x:c r="C10" t="n">
        <x:v>654</x:v>
      </x:c>
      <x:c r="D10" t="n">
        <x:v>21.6</x:v>
      </x:c>
      <x:c r="E10" t="n">
        <x:v>35</x:v>
      </x:c>
      <x:c r="F10" t="n">
        <x:f>IFERROR(VLOOKUP(B10,'03_Справочник'!$A$6:$F$14,4,FALSE),"")</x:f>
        <x:v>60</x:v>
      </x:c>
      <x:c r="G10" s="18" t="n">
        <x:f>IFERROR(E10/F10,"")</x:f>
        <x:v>0.5833333333333334</x:v>
      </x:c>
      <x:c r="H10" t="str">
        <x:f>IFERROR(VLOOKUP(B10,'03_Справочник'!$A$6:$F$14,3,FALSE),"")</x:f>
        <x:v>лекционная</x:v>
      </x:c>
      <x:c r="I10" t="str">
        <x:v>2026-03-16 11:00</x:v>
      </x:c>
      <x:c r="J10" t="str">
        <x:f>LEFT(I10,10)</x:f>
        <x:v>2026-03-16</x:v>
      </x:c>
      <x:c r="K10" t="n">
        <x:f>VALUE(MID(I10,12,2))</x:f>
        <x:v>11</x:v>
      </x:c>
    </x:row>
    <x:row r="11">
      <x:c r="A11" t="str">
        <x:v>O0006</x:v>
      </x:c>
      <x:c r="B11" t="str">
        <x:v>A-101</x:v>
      </x:c>
      <x:c r="C11" t="n">
        <x:v>864</x:v>
      </x:c>
      <x:c r="D11" t="n">
        <x:v>21.2</x:v>
      </x:c>
      <x:c r="E11" t="n">
        <x:v>50</x:v>
      </x:c>
      <x:c r="F11" t="n">
        <x:f>IFERROR(VLOOKUP(B11,'03_Справочник'!$A$6:$F$14,4,FALSE),"")</x:f>
        <x:v>60</x:v>
      </x:c>
      <x:c r="G11" s="18" t="n">
        <x:f>IFERROR(E11/F11,"")</x:f>
        <x:v>0.8333333333333334</x:v>
      </x:c>
      <x:c r="H11" t="str">
        <x:f>IFERROR(VLOOKUP(B11,'03_Справочник'!$A$6:$F$14,3,FALSE),"")</x:f>
        <x:v>лекционная</x:v>
      </x:c>
      <x:c r="I11" t="str">
        <x:v>2026-03-16 11:30</x:v>
      </x:c>
      <x:c r="J11" t="str">
        <x:f>LEFT(I11,10)</x:f>
        <x:v>2026-03-16</x:v>
      </x:c>
      <x:c r="K11" t="n">
        <x:f>VALUE(MID(I11,12,2))</x:f>
        <x:v>11</x:v>
      </x:c>
    </x:row>
    <x:row r="12">
      <x:c r="A12" t="str">
        <x:v>O0007</x:v>
      </x:c>
      <x:c r="B12" t="str">
        <x:v>A-101</x:v>
      </x:c>
      <x:c r="C12" t="n">
        <x:v>405</x:v>
      </x:c>
      <x:c r="D12" t="n">
        <x:v>19.8</x:v>
      </x:c>
      <x:c r="E12" t="n">
        <x:v>7</x:v>
      </x:c>
      <x:c r="F12" t="n">
        <x:f>IFERROR(VLOOKUP(B12,'03_Справочник'!$A$6:$F$14,4,FALSE),"")</x:f>
        <x:v>60</x:v>
      </x:c>
      <x:c r="G12" s="18" t="n">
        <x:f>IFERROR(E12/F12,"")</x:f>
        <x:v>0.11666666666666667</x:v>
      </x:c>
      <x:c r="H12" t="str">
        <x:f>IFERROR(VLOOKUP(B12,'03_Справочник'!$A$6:$F$14,3,FALSE),"")</x:f>
        <x:v>лекционная</x:v>
      </x:c>
      <x:c r="I12" t="str">
        <x:v>2026-03-16 12:00</x:v>
      </x:c>
      <x:c r="J12" t="str">
        <x:f>LEFT(I12,10)</x:f>
        <x:v>2026-03-16</x:v>
      </x:c>
      <x:c r="K12" t="n">
        <x:f>VALUE(MID(I12,12,2))</x:f>
        <x:v>12</x:v>
      </x:c>
    </x:row>
    <x:row r="13">
      <x:c r="A13" t="str">
        <x:v>O0008</x:v>
      </x:c>
      <x:c r="B13" t="str">
        <x:v>A-101</x:v>
      </x:c>
      <x:c r="C13" t="n">
        <x:v>496</x:v>
      </x:c>
      <x:c r="D13" t="n">
        <x:v>19.2</x:v>
      </x:c>
      <x:c r="E13" t="n">
        <x:v>17</x:v>
      </x:c>
      <x:c r="F13" t="n">
        <x:f>IFERROR(VLOOKUP(B13,'03_Справочник'!$A$6:$F$14,4,FALSE),"")</x:f>
        <x:v>60</x:v>
      </x:c>
      <x:c r="G13" s="18" t="n">
        <x:f>IFERROR(E13/F13,"")</x:f>
        <x:v>0.2833333333333333</x:v>
      </x:c>
      <x:c r="H13" t="str">
        <x:f>IFERROR(VLOOKUP(B13,'03_Справочник'!$A$6:$F$14,3,FALSE),"")</x:f>
        <x:v>лекционная</x:v>
      </x:c>
      <x:c r="I13" t="str">
        <x:v>2026-03-16 12:30</x:v>
      </x:c>
      <x:c r="J13" t="str">
        <x:f>LEFT(I13,10)</x:f>
        <x:v>2026-03-16</x:v>
      </x:c>
      <x:c r="K13" t="n">
        <x:f>VALUE(MID(I13,12,2))</x:f>
        <x:v>12</x:v>
      </x:c>
    </x:row>
    <x:row r="14">
      <x:c r="A14" t="str">
        <x:v>O0009</x:v>
      </x:c>
      <x:c r="B14" t="str">
        <x:v>A-101</x:v>
      </x:c>
      <x:c r="C14" t="n">
        <x:v>789</x:v>
      </x:c>
      <x:c r="D14" t="n">
        <x:v>23.1</x:v>
      </x:c>
      <x:c r="E14" t="n">
        <x:v>25</x:v>
      </x:c>
      <x:c r="F14" t="n">
        <x:f>IFERROR(VLOOKUP(B14,'03_Справочник'!$A$6:$F$14,4,FALSE),"")</x:f>
        <x:v>60</x:v>
      </x:c>
      <x:c r="G14" s="18" t="n">
        <x:f>IFERROR(E14/F14,"")</x:f>
        <x:v>0.4166666666666667</x:v>
      </x:c>
      <x:c r="H14" t="str">
        <x:f>IFERROR(VLOOKUP(B14,'03_Справочник'!$A$6:$F$14,3,FALSE),"")</x:f>
        <x:v>лекционная</x:v>
      </x:c>
      <x:c r="I14" t="str">
        <x:v>2026-03-16 13:00</x:v>
      </x:c>
      <x:c r="J14" t="str">
        <x:f>LEFT(I14,10)</x:f>
        <x:v>2026-03-16</x:v>
      </x:c>
      <x:c r="K14" t="n">
        <x:f>VALUE(MID(I14,12,2))</x:f>
        <x:v>13</x:v>
      </x:c>
    </x:row>
    <x:row r="15">
      <x:c r="A15" t="str">
        <x:v>O0010</x:v>
      </x:c>
      <x:c r="B15" t="str">
        <x:v>A-101</x:v>
      </x:c>
      <x:c r="C15" t="n">
        <x:v>968</x:v>
      </x:c>
      <x:c r="D15" t="n">
        <x:v>22</x:v>
      </x:c>
      <x:c r="E15" t="n">
        <x:v>36</x:v>
      </x:c>
      <x:c r="F15" t="n">
        <x:f>IFERROR(VLOOKUP(B15,'03_Справочник'!$A$6:$F$14,4,FALSE),"")</x:f>
        <x:v>60</x:v>
      </x:c>
      <x:c r="G15" s="18" t="n">
        <x:f>IFERROR(E15/F15,"")</x:f>
        <x:v>0.6</x:v>
      </x:c>
      <x:c r="H15" t="str">
        <x:f>IFERROR(VLOOKUP(B15,'03_Справочник'!$A$6:$F$14,3,FALSE),"")</x:f>
        <x:v>лекционная</x:v>
      </x:c>
      <x:c r="I15" t="str">
        <x:v>2026-03-16 13:30</x:v>
      </x:c>
      <x:c r="J15" t="str">
        <x:f>LEFT(I15,10)</x:f>
        <x:v>2026-03-16</x:v>
      </x:c>
      <x:c r="K15" t="n">
        <x:f>VALUE(MID(I15,12,2))</x:f>
        <x:v>13</x:v>
      </x:c>
    </x:row>
    <x:row r="16">
      <x:c r="A16" t="str">
        <x:v>O0011</x:v>
      </x:c>
      <x:c r="B16" t="str">
        <x:v>A-101</x:v>
      </x:c>
      <x:c r="C16" t="n">
        <x:v>899</x:v>
      </x:c>
      <x:c r="D16" t="n">
        <x:v>22.1</x:v>
      </x:c>
      <x:c r="E16" t="n">
        <x:v>37</x:v>
      </x:c>
      <x:c r="F16" t="n">
        <x:f>IFERROR(VLOOKUP(B16,'03_Справочник'!$A$6:$F$14,4,FALSE),"")</x:f>
        <x:v>60</x:v>
      </x:c>
      <x:c r="G16" s="18" t="n">
        <x:f>IFERROR(E16/F16,"")</x:f>
        <x:v>0.6166666666666667</x:v>
      </x:c>
      <x:c r="H16" t="str">
        <x:f>IFERROR(VLOOKUP(B16,'03_Справочник'!$A$6:$F$14,3,FALSE),"")</x:f>
        <x:v>лекционная</x:v>
      </x:c>
      <x:c r="I16" t="str">
        <x:v>2026-03-16 14:00</x:v>
      </x:c>
      <x:c r="J16" t="str">
        <x:f>LEFT(I16,10)</x:f>
        <x:v>2026-03-16</x:v>
      </x:c>
      <x:c r="K16" t="n">
        <x:f>VALUE(MID(I16,12,2))</x:f>
        <x:v>14</x:v>
      </x:c>
    </x:row>
    <x:row r="17">
      <x:c r="A17" t="str">
        <x:v>O0012</x:v>
      </x:c>
      <x:c r="B17" t="str">
        <x:v>A-101</x:v>
      </x:c>
      <x:c r="C17" t="n">
        <x:v>1040</x:v>
      </x:c>
      <x:c r="D17" t="n">
        <x:v>22.4</x:v>
      </x:c>
      <x:c r="E17" t="n">
        <x:v>47</x:v>
      </x:c>
      <x:c r="F17" t="n">
        <x:f>IFERROR(VLOOKUP(B17,'03_Справочник'!$A$6:$F$14,4,FALSE),"")</x:f>
        <x:v>60</x:v>
      </x:c>
      <x:c r="G17" s="18" t="n">
        <x:f>IFERROR(E17/F17,"")</x:f>
        <x:v>0.7833333333333333</x:v>
      </x:c>
      <x:c r="H17" t="str">
        <x:f>IFERROR(VLOOKUP(B17,'03_Справочник'!$A$6:$F$14,3,FALSE),"")</x:f>
        <x:v>лекционная</x:v>
      </x:c>
      <x:c r="I17" t="str">
        <x:v>2026-03-16 14:30</x:v>
      </x:c>
      <x:c r="J17" t="str">
        <x:f>LEFT(I17,10)</x:f>
        <x:v>2026-03-16</x:v>
      </x:c>
      <x:c r="K17" t="n">
        <x:f>VALUE(MID(I17,12,2))</x:f>
        <x:v>14</x:v>
      </x:c>
    </x:row>
    <x:row r="18">
      <x:c r="A18" t="str">
        <x:v>O0013</x:v>
      </x:c>
      <x:c r="B18" t="str">
        <x:v>A-101</x:v>
      </x:c>
      <x:c r="C18" t="n">
        <x:v>506</x:v>
      </x:c>
      <x:c r="D18" t="n">
        <x:v>20.4</x:v>
      </x:c>
      <x:c r="E18" t="n">
        <x:v>5</x:v>
      </x:c>
      <x:c r="F18" t="n">
        <x:f>IFERROR(VLOOKUP(B18,'03_Справочник'!$A$6:$F$14,4,FALSE),"")</x:f>
        <x:v>60</x:v>
      </x:c>
      <x:c r="G18" s="18" t="n">
        <x:f>IFERROR(E18/F18,"")</x:f>
        <x:v>0.08333333333333333</x:v>
      </x:c>
      <x:c r="H18" t="str">
        <x:f>IFERROR(VLOOKUP(B18,'03_Справочник'!$A$6:$F$14,3,FALSE),"")</x:f>
        <x:v>лекционная</x:v>
      </x:c>
      <x:c r="I18" t="str">
        <x:v>2026-03-17 09:00</x:v>
      </x:c>
      <x:c r="J18" t="str">
        <x:f>LEFT(I18,10)</x:f>
        <x:v>2026-03-17</x:v>
      </x:c>
      <x:c r="K18" t="n">
        <x:f>VALUE(MID(I18,12,2))</x:f>
        <x:v>9</x:v>
      </x:c>
    </x:row>
    <x:row r="19">
      <x:c r="A19" t="str">
        <x:v>O0014</x:v>
      </x:c>
      <x:c r="B19" t="str">
        <x:v>A-101</x:v>
      </x:c>
      <x:c r="C19" t="n">
        <x:v>624</x:v>
      </x:c>
      <x:c r="D19" t="n">
        <x:v>20.6</x:v>
      </x:c>
      <x:c r="E19" t="n">
        <x:v>16</x:v>
      </x:c>
      <x:c r="F19" t="n">
        <x:f>IFERROR(VLOOKUP(B19,'03_Справочник'!$A$6:$F$14,4,FALSE),"")</x:f>
        <x:v>60</x:v>
      </x:c>
      <x:c r="G19" s="18" t="n">
        <x:f>IFERROR(E19/F19,"")</x:f>
        <x:v>0.26666666666666666</x:v>
      </x:c>
      <x:c r="H19" t="str">
        <x:f>IFERROR(VLOOKUP(B19,'03_Справочник'!$A$6:$F$14,3,FALSE),"")</x:f>
        <x:v>лекционная</x:v>
      </x:c>
      <x:c r="I19" t="str">
        <x:v>2026-03-17 09:30</x:v>
      </x:c>
      <x:c r="J19" t="str">
        <x:f>LEFT(I19,10)</x:f>
        <x:v>2026-03-17</x:v>
      </x:c>
      <x:c r="K19" t="n">
        <x:f>VALUE(MID(I19,12,2))</x:f>
        <x:v>9</x:v>
      </x:c>
    </x:row>
    <x:row r="20">
      <x:c r="A20" t="str">
        <x:v>O0015</x:v>
      </x:c>
      <x:c r="B20" t="str">
        <x:v>A-101</x:v>
      </x:c>
      <x:c r="C20" t="n">
        <x:v>634</x:v>
      </x:c>
      <x:c r="D20" t="n">
        <x:v>20.3</x:v>
      </x:c>
      <x:c r="E20" t="n">
        <x:v>25</x:v>
      </x:c>
      <x:c r="F20" t="n">
        <x:f>IFERROR(VLOOKUP(B20,'03_Справочник'!$A$6:$F$14,4,FALSE),"")</x:f>
        <x:v>60</x:v>
      </x:c>
      <x:c r="G20" s="18" t="n">
        <x:f>IFERROR(E20/F20,"")</x:f>
        <x:v>0.4166666666666667</x:v>
      </x:c>
      <x:c r="H20" t="str">
        <x:f>IFERROR(VLOOKUP(B20,'03_Справочник'!$A$6:$F$14,3,FALSE),"")</x:f>
        <x:v>лекционная</x:v>
      </x:c>
      <x:c r="I20" t="str">
        <x:v>2026-03-17 10:00</x:v>
      </x:c>
      <x:c r="J20" t="str">
        <x:f>LEFT(I20,10)</x:f>
        <x:v>2026-03-17</x:v>
      </x:c>
      <x:c r="K20" t="n">
        <x:f>VALUE(MID(I20,12,2))</x:f>
        <x:v>10</x:v>
      </x:c>
    </x:row>
    <x:row r="21">
      <x:c r="A21" t="str">
        <x:v>O0016</x:v>
      </x:c>
      <x:c r="B21" t="str">
        <x:v>A-101</x:v>
      </x:c>
      <x:c r="C21" t="n">
        <x:v>805</x:v>
      </x:c>
      <x:c r="D21" t="n">
        <x:v>21.3</x:v>
      </x:c>
      <x:c r="E21" t="n">
        <x:v>39</x:v>
      </x:c>
      <x:c r="F21" t="n">
        <x:f>IFERROR(VLOOKUP(B21,'03_Справочник'!$A$6:$F$14,4,FALSE),"")</x:f>
        <x:v>60</x:v>
      </x:c>
      <x:c r="G21" s="18" t="n">
        <x:f>IFERROR(E21/F21,"")</x:f>
        <x:v>0.65</x:v>
      </x:c>
      <x:c r="H21" t="str">
        <x:f>IFERROR(VLOOKUP(B21,'03_Справочник'!$A$6:$F$14,3,FALSE),"")</x:f>
        <x:v>лекционная</x:v>
      </x:c>
      <x:c r="I21" t="str">
        <x:v>2026-03-17 10:30</x:v>
      </x:c>
      <x:c r="J21" t="str">
        <x:f>LEFT(I21,10)</x:f>
        <x:v>2026-03-17</x:v>
      </x:c>
      <x:c r="K21" t="n">
        <x:f>VALUE(MID(I21,12,2))</x:f>
        <x:v>10</x:v>
      </x:c>
    </x:row>
    <x:row r="22">
      <x:c r="A22" t="str">
        <x:v>O0017</x:v>
      </x:c>
      <x:c r="B22" t="str">
        <x:v>A-101</x:v>
      </x:c>
      <x:c r="C22" t="n">
        <x:v>723</x:v>
      </x:c>
      <x:c r="D22" t="n">
        <x:v>21.2</x:v>
      </x:c>
      <x:c r="E22" t="n">
        <x:v>37</x:v>
      </x:c>
      <x:c r="F22" t="n">
        <x:f>IFERROR(VLOOKUP(B22,'03_Справочник'!$A$6:$F$14,4,FALSE),"")</x:f>
        <x:v>60</x:v>
      </x:c>
      <x:c r="G22" s="18" t="n">
        <x:f>IFERROR(E22/F22,"")</x:f>
        <x:v>0.6166666666666667</x:v>
      </x:c>
      <x:c r="H22" t="str">
        <x:f>IFERROR(VLOOKUP(B22,'03_Справочник'!$A$6:$F$14,3,FALSE),"")</x:f>
        <x:v>лекционная</x:v>
      </x:c>
      <x:c r="I22" t="str">
        <x:v>2026-03-17 11:00</x:v>
      </x:c>
      <x:c r="J22" t="str">
        <x:f>LEFT(I22,10)</x:f>
        <x:v>2026-03-17</x:v>
      </x:c>
      <x:c r="K22" t="n">
        <x:f>VALUE(MID(I22,12,2))</x:f>
        <x:v>11</x:v>
      </x:c>
    </x:row>
    <x:row r="23">
      <x:c r="A23" t="str">
        <x:v>O0018</x:v>
      </x:c>
      <x:c r="B23" t="str">
        <x:v>A-101</x:v>
      </x:c>
      <x:c r="C23" t="n">
        <x:v>820</x:v>
      </x:c>
      <x:c r="D23" t="n">
        <x:v>21.1</x:v>
      </x:c>
      <x:c r="E23" t="n">
        <x:v>43</x:v>
      </x:c>
      <x:c r="F23" t="n">
        <x:f>IFERROR(VLOOKUP(B23,'03_Справочник'!$A$6:$F$14,4,FALSE),"")</x:f>
        <x:v>60</x:v>
      </x:c>
      <x:c r="G23" s="18" t="n">
        <x:f>IFERROR(E23/F23,"")</x:f>
        <x:v>0.7166666666666667</x:v>
      </x:c>
      <x:c r="H23" t="str">
        <x:f>IFERROR(VLOOKUP(B23,'03_Справочник'!$A$6:$F$14,3,FALSE),"")</x:f>
        <x:v>лекционная</x:v>
      </x:c>
      <x:c r="I23" t="str">
        <x:v>2026-03-17 11:30</x:v>
      </x:c>
      <x:c r="J23" t="str">
        <x:f>LEFT(I23,10)</x:f>
        <x:v>2026-03-17</x:v>
      </x:c>
      <x:c r="K23" t="n">
        <x:f>VALUE(MID(I23,12,2))</x:f>
        <x:v>11</x:v>
      </x:c>
    </x:row>
    <x:row r="24">
      <x:c r="A24" t="str">
        <x:v>O0019</x:v>
      </x:c>
      <x:c r="B24" t="str">
        <x:v>A-101</x:v>
      </x:c>
      <x:c r="C24" t="n">
        <x:v>412</x:v>
      </x:c>
      <x:c r="D24" t="n">
        <x:v>20.2</x:v>
      </x:c>
      <x:c r="E24" t="n">
        <x:v>6</x:v>
      </x:c>
      <x:c r="F24" t="n">
        <x:f>IFERROR(VLOOKUP(B24,'03_Справочник'!$A$6:$F$14,4,FALSE),"")</x:f>
        <x:v>60</x:v>
      </x:c>
      <x:c r="G24" s="18" t="n">
        <x:f>IFERROR(E24/F24,"")</x:f>
        <x:v>0.1</x:v>
      </x:c>
      <x:c r="H24" t="str">
        <x:f>IFERROR(VLOOKUP(B24,'03_Справочник'!$A$6:$F$14,3,FALSE),"")</x:f>
        <x:v>лекционная</x:v>
      </x:c>
      <x:c r="I24" t="str">
        <x:v>2026-03-17 12:00</x:v>
      </x:c>
      <x:c r="J24" t="str">
        <x:f>LEFT(I24,10)</x:f>
        <x:v>2026-03-17</x:v>
      </x:c>
      <x:c r="K24" t="n">
        <x:f>VALUE(MID(I24,12,2))</x:f>
        <x:v>12</x:v>
      </x:c>
    </x:row>
    <x:row r="25">
      <x:c r="A25" t="str">
        <x:v>O0020</x:v>
      </x:c>
      <x:c r="B25" t="str">
        <x:v>A-101</x:v>
      </x:c>
      <x:c r="C25" t="n">
        <x:v>493</x:v>
      </x:c>
      <x:c r="D25" t="n">
        <x:v>21</x:v>
      </x:c>
      <x:c r="E25" t="n">
        <x:v>17</x:v>
      </x:c>
      <x:c r="F25" t="n">
        <x:f>IFERROR(VLOOKUP(B25,'03_Справочник'!$A$6:$F$14,4,FALSE),"")</x:f>
        <x:v>60</x:v>
      </x:c>
      <x:c r="G25" s="18" t="n">
        <x:f>IFERROR(E25/F25,"")</x:f>
        <x:v>0.2833333333333333</x:v>
      </x:c>
      <x:c r="H25" t="str">
        <x:f>IFERROR(VLOOKUP(B25,'03_Справочник'!$A$6:$F$14,3,FALSE),"")</x:f>
        <x:v>лекционная</x:v>
      </x:c>
      <x:c r="I25" t="str">
        <x:v>2026-03-17 12:30</x:v>
      </x:c>
      <x:c r="J25" t="str">
        <x:f>LEFT(I25,10)</x:f>
        <x:v>2026-03-17</x:v>
      </x:c>
      <x:c r="K25" t="n">
        <x:f>VALUE(MID(I25,12,2))</x:f>
        <x:v>12</x:v>
      </x:c>
    </x:row>
    <x:row r="26">
      <x:c r="A26" t="str">
        <x:v>O0021</x:v>
      </x:c>
      <x:c r="B26" t="str">
        <x:v>A-101</x:v>
      </x:c>
      <x:c r="C26" t="n">
        <x:v>907</x:v>
      </x:c>
      <x:c r="D26" t="n">
        <x:v>22.5</x:v>
      </x:c>
      <x:c r="E26" t="n">
        <x:v>29</x:v>
      </x:c>
      <x:c r="F26" t="n">
        <x:f>IFERROR(VLOOKUP(B26,'03_Справочник'!$A$6:$F$14,4,FALSE),"")</x:f>
        <x:v>60</x:v>
      </x:c>
      <x:c r="G26" s="18" t="n">
        <x:f>IFERROR(E26/F26,"")</x:f>
        <x:v>0.48333333333333334</x:v>
      </x:c>
      <x:c r="H26" t="str">
        <x:f>IFERROR(VLOOKUP(B26,'03_Справочник'!$A$6:$F$14,3,FALSE),"")</x:f>
        <x:v>лекционная</x:v>
      </x:c>
      <x:c r="I26" t="str">
        <x:v>2026-03-17 13:00</x:v>
      </x:c>
      <x:c r="J26" t="str">
        <x:f>LEFT(I26,10)</x:f>
        <x:v>2026-03-17</x:v>
      </x:c>
      <x:c r="K26" t="n">
        <x:f>VALUE(MID(I26,12,2))</x:f>
        <x:v>13</x:v>
      </x:c>
    </x:row>
    <x:row r="27">
      <x:c r="A27" t="str">
        <x:v>O0022</x:v>
      </x:c>
      <x:c r="B27" t="str">
        <x:v>A-101</x:v>
      </x:c>
      <x:c r="C27" t="n">
        <x:v>938</x:v>
      </x:c>
      <x:c r="D27" t="n">
        <x:v>22.1</x:v>
      </x:c>
      <x:c r="E27" t="n">
        <x:v>30</x:v>
      </x:c>
      <x:c r="F27" t="n">
        <x:f>IFERROR(VLOOKUP(B27,'03_Справочник'!$A$6:$F$14,4,FALSE),"")</x:f>
        <x:v>60</x:v>
      </x:c>
      <x:c r="G27" s="18" t="n">
        <x:f>IFERROR(E27/F27,"")</x:f>
        <x:v>0.5</x:v>
      </x:c>
      <x:c r="H27" t="str">
        <x:f>IFERROR(VLOOKUP(B27,'03_Справочник'!$A$6:$F$14,3,FALSE),"")</x:f>
        <x:v>лекционная</x:v>
      </x:c>
      <x:c r="I27" t="str">
        <x:v>2026-03-17 13:30</x:v>
      </x:c>
      <x:c r="J27" t="str">
        <x:f>LEFT(I27,10)</x:f>
        <x:v>2026-03-17</x:v>
      </x:c>
      <x:c r="K27" t="n">
        <x:f>VALUE(MID(I27,12,2))</x:f>
        <x:v>13</x:v>
      </x:c>
    </x:row>
    <x:row r="28">
      <x:c r="A28" t="str">
        <x:v>O0023</x:v>
      </x:c>
      <x:c r="B28" t="str">
        <x:v>A-101</x:v>
      </x:c>
      <x:c r="C28" t="n">
        <x:v>892</x:v>
      </x:c>
      <x:c r="D28" t="n">
        <x:v>23</x:v>
      </x:c>
      <x:c r="E28" t="n">
        <x:v>36</x:v>
      </x:c>
      <x:c r="F28" t="n">
        <x:f>IFERROR(VLOOKUP(B28,'03_Справочник'!$A$6:$F$14,4,FALSE),"")</x:f>
        <x:v>60</x:v>
      </x:c>
      <x:c r="G28" s="18" t="n">
        <x:f>IFERROR(E28/F28,"")</x:f>
        <x:v>0.6</x:v>
      </x:c>
      <x:c r="H28" t="str">
        <x:f>IFERROR(VLOOKUP(B28,'03_Справочник'!$A$6:$F$14,3,FALSE),"")</x:f>
        <x:v>лекционная</x:v>
      </x:c>
      <x:c r="I28" t="str">
        <x:v>2026-03-17 14:00</x:v>
      </x:c>
      <x:c r="J28" t="str">
        <x:f>LEFT(I28,10)</x:f>
        <x:v>2026-03-17</x:v>
      </x:c>
      <x:c r="K28" t="n">
        <x:f>VALUE(MID(I28,12,2))</x:f>
        <x:v>14</x:v>
      </x:c>
    </x:row>
    <x:row r="29">
      <x:c r="A29" t="str">
        <x:v>O0024</x:v>
      </x:c>
      <x:c r="B29" t="str">
        <x:v>A-101</x:v>
      </x:c>
      <x:c r="C29" t="n">
        <x:v>1094</x:v>
      </x:c>
      <x:c r="D29" t="n">
        <x:v>22.5</x:v>
      </x:c>
      <x:c r="E29" t="n">
        <x:v>48</x:v>
      </x:c>
      <x:c r="F29" t="n">
        <x:f>IFERROR(VLOOKUP(B29,'03_Справочник'!$A$6:$F$14,4,FALSE),"")</x:f>
        <x:v>60</x:v>
      </x:c>
      <x:c r="G29" s="18" t="n">
        <x:f>IFERROR(E29/F29,"")</x:f>
        <x:v>0.8</x:v>
      </x:c>
      <x:c r="H29" t="str">
        <x:f>IFERROR(VLOOKUP(B29,'03_Справочник'!$A$6:$F$14,3,FALSE),"")</x:f>
        <x:v>лекционная</x:v>
      </x:c>
      <x:c r="I29" t="str">
        <x:v>2026-03-17 14:30</x:v>
      </x:c>
      <x:c r="J29" t="str">
        <x:f>LEFT(I29,10)</x:f>
        <x:v>2026-03-17</x:v>
      </x:c>
      <x:c r="K29" t="n">
        <x:f>VALUE(MID(I29,12,2))</x:f>
        <x:v>14</x:v>
      </x:c>
    </x:row>
    <x:row r="30">
      <x:c r="A30" t="str">
        <x:v>O0025</x:v>
      </x:c>
      <x:c r="B30" t="str">
        <x:v>A-102</x:v>
      </x:c>
      <x:c r="C30" t="n">
        <x:v>426</x:v>
      </x:c>
      <x:c r="D30" t="n">
        <x:v>20.3</x:v>
      </x:c>
      <x:c r="E30" t="n">
        <x:v>3</x:v>
      </x:c>
      <x:c r="F30" t="n">
        <x:f>IFERROR(VLOOKUP(B30,'03_Справочник'!$A$6:$F$14,4,FALSE),"")</x:f>
        <x:v>28</x:v>
      </x:c>
      <x:c r="G30" s="18" t="n">
        <x:f>IFERROR(E30/F30,"")</x:f>
        <x:v>0.10714285714285714</x:v>
      </x:c>
      <x:c r="H30" t="str">
        <x:f>IFERROR(VLOOKUP(B30,'03_Справочник'!$A$6:$F$14,3,FALSE),"")</x:f>
        <x:v>семинарская</x:v>
      </x:c>
      <x:c r="I30" t="str">
        <x:v>2026-03-16 09:00</x:v>
      </x:c>
      <x:c r="J30" t="str">
        <x:f>LEFT(I30,10)</x:f>
        <x:v>2026-03-16</x:v>
      </x:c>
      <x:c r="K30" t="n">
        <x:f>VALUE(MID(I30,12,2))</x:f>
        <x:v>9</x:v>
      </x:c>
    </x:row>
    <x:row r="31">
      <x:c r="A31" t="str">
        <x:v>O0026</x:v>
      </x:c>
      <x:c r="B31" t="str">
        <x:v>A-102</x:v>
      </x:c>
      <x:c r="C31" t="n">
        <x:v>487</x:v>
      </x:c>
      <x:c r="D31" t="n">
        <x:v>20.2</x:v>
      </x:c>
      <x:c r="E31" t="n">
        <x:v>8</x:v>
      </x:c>
      <x:c r="F31" t="n">
        <x:f>IFERROR(VLOOKUP(B31,'03_Справочник'!$A$6:$F$14,4,FALSE),"")</x:f>
        <x:v>28</x:v>
      </x:c>
      <x:c r="G31" s="18" t="n">
        <x:f>IFERROR(E31/F31,"")</x:f>
        <x:v>0.2857142857142857</x:v>
      </x:c>
      <x:c r="H31" t="str">
        <x:f>IFERROR(VLOOKUP(B31,'03_Справочник'!$A$6:$F$14,3,FALSE),"")</x:f>
        <x:v>семинарская</x:v>
      </x:c>
      <x:c r="I31" t="str">
        <x:v>2026-03-16 09:30</x:v>
      </x:c>
      <x:c r="J31" t="str">
        <x:f>LEFT(I31,10)</x:f>
        <x:v>2026-03-16</x:v>
      </x:c>
      <x:c r="K31" t="n">
        <x:f>VALUE(MID(I31,12,2))</x:f>
        <x:v>9</x:v>
      </x:c>
    </x:row>
    <x:row r="32">
      <x:c r="A32" t="str">
        <x:v>O0027</x:v>
      </x:c>
      <x:c r="B32" t="str">
        <x:v>A-102</x:v>
      </x:c>
      <x:c r="C32" t="n">
        <x:v>596</x:v>
      </x:c>
      <x:c r="D32" t="n">
        <x:v>20.6</x:v>
      </x:c>
      <x:c r="E32" t="n">
        <x:v>14</x:v>
      </x:c>
      <x:c r="F32" t="n">
        <x:f>IFERROR(VLOOKUP(B32,'03_Справочник'!$A$6:$F$14,4,FALSE),"")</x:f>
        <x:v>28</x:v>
      </x:c>
      <x:c r="G32" s="18" t="n">
        <x:f>IFERROR(E32/F32,"")</x:f>
        <x:v>0.5</x:v>
      </x:c>
      <x:c r="H32" t="str">
        <x:f>IFERROR(VLOOKUP(B32,'03_Справочник'!$A$6:$F$14,3,FALSE),"")</x:f>
        <x:v>семинарская</x:v>
      </x:c>
      <x:c r="I32" t="str">
        <x:v>2026-03-16 10:00</x:v>
      </x:c>
      <x:c r="J32" t="str">
        <x:f>LEFT(I32,10)</x:f>
        <x:v>2026-03-16</x:v>
      </x:c>
      <x:c r="K32" t="n">
        <x:f>VALUE(MID(I32,12,2))</x:f>
        <x:v>10</x:v>
      </x:c>
    </x:row>
    <x:row r="33">
      <x:c r="A33" t="str">
        <x:v>O0028</x:v>
      </x:c>
      <x:c r="B33" t="str">
        <x:v>A-102</x:v>
      </x:c>
      <x:c r="C33" t="n">
        <x:v>577</x:v>
      </x:c>
      <x:c r="D33" t="n">
        <x:v>20.6</x:v>
      </x:c>
      <x:c r="E33" t="n">
        <x:v>12</x:v>
      </x:c>
      <x:c r="F33" t="n">
        <x:f>IFERROR(VLOOKUP(B33,'03_Справочник'!$A$6:$F$14,4,FALSE),"")</x:f>
        <x:v>28</x:v>
      </x:c>
      <x:c r="G33" s="18" t="n">
        <x:f>IFERROR(E33/F33,"")</x:f>
        <x:v>0.42857142857142855</x:v>
      </x:c>
      <x:c r="H33" t="str">
        <x:f>IFERROR(VLOOKUP(B33,'03_Справочник'!$A$6:$F$14,3,FALSE),"")</x:f>
        <x:v>семинарская</x:v>
      </x:c>
      <x:c r="I33" t="str">
        <x:v>2026-03-16 10:30</x:v>
      </x:c>
      <x:c r="J33" t="str">
        <x:f>LEFT(I33,10)</x:f>
        <x:v>2026-03-16</x:v>
      </x:c>
      <x:c r="K33" t="n">
        <x:f>VALUE(MID(I33,12,2))</x:f>
        <x:v>10</x:v>
      </x:c>
    </x:row>
    <x:row r="34">
      <x:c r="A34" t="str">
        <x:v>O0029</x:v>
      </x:c>
      <x:c r="B34" t="str">
        <x:v>A-102</x:v>
      </x:c>
      <x:c r="C34" t="n">
        <x:v>1082</x:v>
      </x:c>
      <x:c r="D34" t="n">
        <x:v>22.1</x:v>
      </x:c>
      <x:c r="E34" t="n">
        <x:v>23</x:v>
      </x:c>
      <x:c r="F34" t="n">
        <x:f>IFERROR(VLOOKUP(B34,'03_Справочник'!$A$6:$F$14,4,FALSE),"")</x:f>
        <x:v>28</x:v>
      </x:c>
      <x:c r="G34" s="18" t="n">
        <x:f>IFERROR(E34/F34,"")</x:f>
        <x:v>0.8214285714285714</x:v>
      </x:c>
      <x:c r="H34" t="str">
        <x:f>IFERROR(VLOOKUP(B34,'03_Справочник'!$A$6:$F$14,3,FALSE),"")</x:f>
        <x:v>семинарская</x:v>
      </x:c>
      <x:c r="I34" t="str">
        <x:v>2026-03-16 11:00</x:v>
      </x:c>
      <x:c r="J34" t="str">
        <x:f>LEFT(I34,10)</x:f>
        <x:v>2026-03-16</x:v>
      </x:c>
      <x:c r="K34" t="n">
        <x:f>VALUE(MID(I34,12,2))</x:f>
        <x:v>11</x:v>
      </x:c>
    </x:row>
    <x:row r="35">
      <x:c r="A35" t="str">
        <x:v>O0030</x:v>
      </x:c>
      <x:c r="B35" t="str">
        <x:v>A-102</x:v>
      </x:c>
      <x:c r="C35" t="n">
        <x:v>884</x:v>
      </x:c>
      <x:c r="D35" t="n">
        <x:v>22.9</x:v>
      </x:c>
      <x:c r="E35" t="n">
        <x:v>16</x:v>
      </x:c>
      <x:c r="F35" t="n">
        <x:f>IFERROR(VLOOKUP(B35,'03_Справочник'!$A$6:$F$14,4,FALSE),"")</x:f>
        <x:v>28</x:v>
      </x:c>
      <x:c r="G35" s="18" t="n">
        <x:f>IFERROR(E35/F35,"")</x:f>
        <x:v>0.5714285714285714</x:v>
      </x:c>
      <x:c r="H35" t="str">
        <x:f>IFERROR(VLOOKUP(B35,'03_Справочник'!$A$6:$F$14,3,FALSE),"")</x:f>
        <x:v>семинарская</x:v>
      </x:c>
      <x:c r="I35" t="str">
        <x:v>2026-03-16 11:30</x:v>
      </x:c>
      <x:c r="J35" t="str">
        <x:f>LEFT(I35,10)</x:f>
        <x:v>2026-03-16</x:v>
      </x:c>
      <x:c r="K35" t="n">
        <x:f>VALUE(MID(I35,12,2))</x:f>
        <x:v>11</x:v>
      </x:c>
    </x:row>
    <x:row r="36">
      <x:c r="A36" t="str">
        <x:v>O0031</x:v>
      </x:c>
      <x:c r="B36" t="str">
        <x:v>A-102</x:v>
      </x:c>
      <x:c r="C36" t="n">
        <x:v>782</x:v>
      </x:c>
      <x:c r="D36" t="n">
        <x:v>21.3</x:v>
      </x:c>
      <x:c r="E36" t="n">
        <x:v>10</x:v>
      </x:c>
      <x:c r="F36" t="n">
        <x:f>IFERROR(VLOOKUP(B36,'03_Справочник'!$A$6:$F$14,4,FALSE),"")</x:f>
        <x:v>28</x:v>
      </x:c>
      <x:c r="G36" s="18" t="n">
        <x:f>IFERROR(E36/F36,"")</x:f>
        <x:v>0.35714285714285715</x:v>
      </x:c>
      <x:c r="H36" t="str">
        <x:f>IFERROR(VLOOKUP(B36,'03_Справочник'!$A$6:$F$14,3,FALSE),"")</x:f>
        <x:v>семинарская</x:v>
      </x:c>
      <x:c r="I36" t="str">
        <x:v>2026-03-16 12:00</x:v>
      </x:c>
      <x:c r="J36" t="str">
        <x:f>LEFT(I36,10)</x:f>
        <x:v>2026-03-16</x:v>
      </x:c>
      <x:c r="K36" t="n">
        <x:f>VALUE(MID(I36,12,2))</x:f>
        <x:v>12</x:v>
      </x:c>
    </x:row>
    <x:row r="37">
      <x:c r="A37" t="str">
        <x:v>O0032</x:v>
      </x:c>
      <x:c r="B37" t="str">
        <x:v>A-102</x:v>
      </x:c>
      <x:c r="C37" t="n">
        <x:v>682</x:v>
      </x:c>
      <x:c r="D37" t="n">
        <x:v>22.2</x:v>
      </x:c>
      <x:c r="E37" t="n">
        <x:v>8</x:v>
      </x:c>
      <x:c r="F37" t="n">
        <x:f>IFERROR(VLOOKUP(B37,'03_Справочник'!$A$6:$F$14,4,FALSE),"")</x:f>
        <x:v>28</x:v>
      </x:c>
      <x:c r="G37" s="18" t="n">
        <x:f>IFERROR(E37/F37,"")</x:f>
        <x:v>0.2857142857142857</x:v>
      </x:c>
      <x:c r="H37" t="str">
        <x:f>IFERROR(VLOOKUP(B37,'03_Справочник'!$A$6:$F$14,3,FALSE),"")</x:f>
        <x:v>семинарская</x:v>
      </x:c>
      <x:c r="I37" t="str">
        <x:v>2026-03-16 12:30</x:v>
      </x:c>
      <x:c r="J37" t="str">
        <x:f>LEFT(I37,10)</x:f>
        <x:v>2026-03-16</x:v>
      </x:c>
      <x:c r="K37" t="n">
        <x:f>VALUE(MID(I37,12,2))</x:f>
        <x:v>12</x:v>
      </x:c>
    </x:row>
    <x:row r="38">
      <x:c r="A38" t="str">
        <x:v>O0033</x:v>
      </x:c>
      <x:c r="B38" t="str">
        <x:v>A-102</x:v>
      </x:c>
      <x:c r="C38" t="n">
        <x:v>749</x:v>
      </x:c>
      <x:c r="D38" t="n">
        <x:v>21.4</x:v>
      </x:c>
      <x:c r="E38" t="n">
        <x:v>16</x:v>
      </x:c>
      <x:c r="F38" t="n">
        <x:f>IFERROR(VLOOKUP(B38,'03_Справочник'!$A$6:$F$14,4,FALSE),"")</x:f>
        <x:v>28</x:v>
      </x:c>
      <x:c r="G38" s="18" t="n">
        <x:f>IFERROR(E38/F38,"")</x:f>
        <x:v>0.5714285714285714</x:v>
      </x:c>
      <x:c r="H38" t="str">
        <x:f>IFERROR(VLOOKUP(B38,'03_Справочник'!$A$6:$F$14,3,FALSE),"")</x:f>
        <x:v>семинарская</x:v>
      </x:c>
      <x:c r="I38" t="str">
        <x:v>2026-03-16 13:00</x:v>
      </x:c>
      <x:c r="J38" t="str">
        <x:f>LEFT(I38,10)</x:f>
        <x:v>2026-03-16</x:v>
      </x:c>
      <x:c r="K38" t="n">
        <x:f>VALUE(MID(I38,12,2))</x:f>
        <x:v>13</x:v>
      </x:c>
    </x:row>
    <x:row r="39">
      <x:c r="A39" t="str">
        <x:v>O0034</x:v>
      </x:c>
      <x:c r="B39" t="str">
        <x:v>A-102</x:v>
      </x:c>
      <x:c r="C39" t="n">
        <x:v>726</x:v>
      </x:c>
      <x:c r="D39" t="n">
        <x:v>20.3</x:v>
      </x:c>
      <x:c r="E39" t="n">
        <x:v>15</x:v>
      </x:c>
      <x:c r="F39" t="n">
        <x:f>IFERROR(VLOOKUP(B39,'03_Справочник'!$A$6:$F$14,4,FALSE),"")</x:f>
        <x:v>28</x:v>
      </x:c>
      <x:c r="G39" s="18" t="n">
        <x:f>IFERROR(E39/F39,"")</x:f>
        <x:v>0.5357142857142857</x:v>
      </x:c>
      <x:c r="H39" t="str">
        <x:f>IFERROR(VLOOKUP(B39,'03_Справочник'!$A$6:$F$14,3,FALSE),"")</x:f>
        <x:v>семинарская</x:v>
      </x:c>
      <x:c r="I39" t="str">
        <x:v>2026-03-16 13:30</x:v>
      </x:c>
      <x:c r="J39" t="str">
        <x:f>LEFT(I39,10)</x:f>
        <x:v>2026-03-16</x:v>
      </x:c>
      <x:c r="K39" t="n">
        <x:f>VALUE(MID(I39,12,2))</x:f>
        <x:v>13</x:v>
      </x:c>
    </x:row>
    <x:row r="40">
      <x:c r="A40" t="str">
        <x:v>O0035</x:v>
      </x:c>
      <x:c r="B40" t="str">
        <x:v>A-102</x:v>
      </x:c>
      <x:c r="C40" t="n">
        <x:v>719</x:v>
      </x:c>
      <x:c r="D40" t="n">
        <x:v>21.8</x:v>
      </x:c>
      <x:c r="E40" t="n">
        <x:v>13</x:v>
      </x:c>
      <x:c r="F40" t="n">
        <x:f>IFERROR(VLOOKUP(B40,'03_Справочник'!$A$6:$F$14,4,FALSE),"")</x:f>
        <x:v>28</x:v>
      </x:c>
      <x:c r="G40" s="18" t="n">
        <x:f>IFERROR(E40/F40,"")</x:f>
        <x:v>0.4642857142857143</x:v>
      </x:c>
      <x:c r="H40" t="str">
        <x:f>IFERROR(VLOOKUP(B40,'03_Справочник'!$A$6:$F$14,3,FALSE),"")</x:f>
        <x:v>семинарская</x:v>
      </x:c>
      <x:c r="I40" t="str">
        <x:v>2026-03-16 14:00</x:v>
      </x:c>
      <x:c r="J40" t="str">
        <x:f>LEFT(I40,10)</x:f>
        <x:v>2026-03-16</x:v>
      </x:c>
      <x:c r="K40" t="n">
        <x:f>VALUE(MID(I40,12,2))</x:f>
        <x:v>14</x:v>
      </x:c>
    </x:row>
    <x:row r="43" ht="33" customHeight="1">
      <x:c r="A43" s="20" t="str">
        <x:v>Справочник и параметры шкал должны быть стабильны между партиями; формулы не являются медицинскими/санитарными нормативами.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</x:row>
  </x:sheetData>
  <x:mergeCells>
    <x:mergeCell ref="A1:K1"/>
    <x:mergeCell ref="A43:K43"/>
  </x:mergeCells>
  <x:pageMargins left="0.7" right="0.7" top="0.75" bottom="0.75" header="0.3" footer="0.3"/>
</x:worksheet>
</file>